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Case files\projekt\ekonomika\"/>
    </mc:Choice>
  </mc:AlternateContent>
  <xr:revisionPtr revIDLastSave="0" documentId="13_ncr:1_{01B93492-204A-47AB-BDA8-921A02EDFBA4}" xr6:coauthVersionLast="47" xr6:coauthVersionMax="47" xr10:uidLastSave="{00000000-0000-0000-0000-000000000000}"/>
  <bookViews>
    <workbookView xWindow="-120" yWindow="-120" windowWidth="38640" windowHeight="21120" xr2:uid="{82A8E463-AD70-49E6-97FE-140F8A0E0FEF}"/>
  </bookViews>
  <sheets>
    <sheet name="Predpoklady" sheetId="1" r:id="rId1"/>
    <sheet name="Cenik" sheetId="2" r:id="rId2"/>
    <sheet name="Naklad_volani" sheetId="3" r:id="rId3"/>
    <sheet name="Citlivost_tokenizer" sheetId="4" r:id="rId4"/>
    <sheet name="Naklad_run" sheetId="5" r:id="rId5"/>
    <sheet name="Cache_krivka" sheetId="6" r:id="rId6"/>
    <sheet name="Break_even" sheetId="7" r:id="rId7"/>
    <sheet name="Naklad_hrace" sheetId="8" r:id="rId8"/>
    <sheet name="Scenare" sheetId="9" r:id="rId9"/>
    <sheet name="Fair_use" sheetId="10" r:id="rId10"/>
    <sheet name="Predgenerovani" sheetId="11" r:id="rId11"/>
    <sheet name="Legend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1" l="1"/>
  <c r="A12" i="11"/>
  <c r="A11" i="11"/>
  <c r="C8" i="10"/>
  <c r="B3" i="10"/>
  <c r="D10" i="9"/>
  <c r="F10" i="9" s="1"/>
  <c r="C7" i="9"/>
  <c r="G4" i="9"/>
  <c r="F4" i="9"/>
  <c r="B8" i="8"/>
  <c r="B7" i="8"/>
  <c r="B6" i="8"/>
  <c r="B5" i="8"/>
  <c r="I4" i="8"/>
  <c r="E4" i="8"/>
  <c r="D11" i="7"/>
  <c r="C7" i="7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E12" i="5"/>
  <c r="D12" i="5"/>
  <c r="D10" i="5"/>
  <c r="D9" i="5"/>
  <c r="C12" i="5"/>
  <c r="C10" i="5"/>
  <c r="C9" i="5"/>
  <c r="B12" i="5"/>
  <c r="B10" i="5"/>
  <c r="E8" i="5"/>
  <c r="E10" i="5" s="1"/>
  <c r="D8" i="5"/>
  <c r="C8" i="5"/>
  <c r="B8" i="5"/>
  <c r="B9" i="5" s="1"/>
  <c r="E7" i="5"/>
  <c r="D7" i="5"/>
  <c r="C7" i="5"/>
  <c r="B7" i="5"/>
  <c r="E6" i="5"/>
  <c r="D6" i="5"/>
  <c r="C6" i="5"/>
  <c r="B6" i="5"/>
  <c r="E5" i="5"/>
  <c r="E11" i="5" s="1"/>
  <c r="D5" i="5"/>
  <c r="D11" i="5" s="1"/>
  <c r="C5" i="5"/>
  <c r="C11" i="5" s="1"/>
  <c r="B5" i="5"/>
  <c r="E4" i="5"/>
  <c r="D4" i="5"/>
  <c r="C4" i="5"/>
  <c r="B4" i="5"/>
  <c r="C6" i="4"/>
  <c r="B6" i="4"/>
  <c r="C4" i="4"/>
  <c r="B4" i="4"/>
  <c r="A5" i="4"/>
  <c r="B5" i="4" s="1"/>
  <c r="F3" i="4"/>
  <c r="E3" i="4"/>
  <c r="C18" i="3"/>
  <c r="B18" i="3"/>
  <c r="A18" i="3"/>
  <c r="H3" i="4" s="1"/>
  <c r="C17" i="3"/>
  <c r="B17" i="3"/>
  <c r="A17" i="3"/>
  <c r="A19" i="5" s="1"/>
  <c r="C16" i="3"/>
  <c r="B16" i="3"/>
  <c r="A16" i="3"/>
  <c r="A18" i="5" s="1"/>
  <c r="C15" i="3"/>
  <c r="B15" i="3"/>
  <c r="A15" i="3"/>
  <c r="A17" i="5" s="1"/>
  <c r="C14" i="3"/>
  <c r="B14" i="3"/>
  <c r="A14" i="3"/>
  <c r="A16" i="5" s="1"/>
  <c r="B10" i="3"/>
  <c r="C10" i="3" s="1"/>
  <c r="B8" i="3"/>
  <c r="C8" i="3" s="1"/>
  <c r="B6" i="3"/>
  <c r="C6" i="3" s="1"/>
  <c r="B5" i="3"/>
  <c r="C5" i="3" s="1"/>
  <c r="C46" i="1"/>
  <c r="C45" i="1"/>
  <c r="C44" i="1"/>
  <c r="C47" i="1" s="1"/>
  <c r="C48" i="1" s="1"/>
  <c r="C49" i="1" s="1"/>
  <c r="C50" i="1" s="1"/>
  <c r="E29" i="1"/>
  <c r="D29" i="1"/>
  <c r="C29" i="1"/>
  <c r="B29" i="1"/>
  <c r="E15" i="3" l="1"/>
  <c r="E16" i="3"/>
  <c r="E10" i="9"/>
  <c r="A20" i="5"/>
  <c r="E9" i="5"/>
  <c r="B11" i="5"/>
  <c r="H4" i="4"/>
  <c r="H6" i="4"/>
  <c r="B9" i="9"/>
  <c r="B9" i="7"/>
  <c r="B8" i="9"/>
  <c r="H10" i="9"/>
  <c r="E11" i="7"/>
  <c r="F11" i="7" s="1"/>
  <c r="G10" i="9"/>
  <c r="F5" i="4"/>
  <c r="E5" i="4"/>
  <c r="D5" i="4"/>
  <c r="G3" i="4"/>
  <c r="B8" i="7"/>
  <c r="B5" i="7"/>
  <c r="E14" i="3"/>
  <c r="B4" i="10"/>
  <c r="E6" i="4"/>
  <c r="E4" i="4"/>
  <c r="F6" i="4"/>
  <c r="B6" i="9"/>
  <c r="D4" i="4"/>
  <c r="B6" i="7"/>
  <c r="D6" i="4"/>
  <c r="B7" i="3"/>
  <c r="E17" i="3"/>
  <c r="F4" i="4"/>
  <c r="G6" i="4"/>
  <c r="G4" i="4"/>
  <c r="B7" i="9"/>
  <c r="D7" i="9" s="1"/>
  <c r="H7" i="9" s="1"/>
  <c r="E18" i="3"/>
  <c r="C5" i="4"/>
  <c r="G5" i="4" s="1"/>
  <c r="B10" i="7"/>
  <c r="B5" i="9"/>
  <c r="B7" i="7"/>
  <c r="D7" i="7" s="1"/>
  <c r="E7" i="7" s="1"/>
  <c r="F7" i="7" s="1"/>
  <c r="D3" i="4"/>
  <c r="C12" i="10"/>
  <c r="I6" i="4" l="1"/>
  <c r="H5" i="4"/>
  <c r="B12" i="10"/>
  <c r="C7" i="3"/>
  <c r="B9" i="3"/>
  <c r="C9" i="3" s="1"/>
  <c r="F7" i="9"/>
  <c r="G7" i="9" s="1"/>
  <c r="E7" i="9"/>
  <c r="I4" i="4"/>
  <c r="I5" i="4"/>
  <c r="D16" i="3" l="1"/>
  <c r="F16" i="3" s="1"/>
  <c r="D14" i="3"/>
  <c r="F14" i="3" s="1"/>
  <c r="D18" i="3"/>
  <c r="F18" i="3" s="1"/>
  <c r="D15" i="3"/>
  <c r="F15" i="3" s="1"/>
  <c r="D17" i="3"/>
  <c r="F17" i="3" s="1"/>
  <c r="C19" i="5" l="1"/>
  <c r="C5" i="7"/>
  <c r="D5" i="7" s="1"/>
  <c r="E5" i="7" s="1"/>
  <c r="F5" i="7" s="1"/>
  <c r="D19" i="5"/>
  <c r="E19" i="5"/>
  <c r="B19" i="5"/>
  <c r="C5" i="9"/>
  <c r="D5" i="9" s="1"/>
  <c r="C8" i="7"/>
  <c r="D8" i="7" s="1"/>
  <c r="E8" i="7" s="1"/>
  <c r="F8" i="7" s="1"/>
  <c r="C9" i="7"/>
  <c r="D9" i="7" s="1"/>
  <c r="E9" i="7" s="1"/>
  <c r="F9" i="7" s="1"/>
  <c r="B7" i="11"/>
  <c r="B13" i="11" s="1"/>
  <c r="B6" i="11"/>
  <c r="B12" i="11" s="1"/>
  <c r="C8" i="9"/>
  <c r="D8" i="9" s="1"/>
  <c r="D16" i="5"/>
  <c r="B5" i="11"/>
  <c r="B11" i="11" s="1"/>
  <c r="B16" i="5"/>
  <c r="E6" i="8"/>
  <c r="F6" i="8" s="1"/>
  <c r="B22" i="6"/>
  <c r="B8" i="6"/>
  <c r="C6" i="8"/>
  <c r="D6" i="8" s="1"/>
  <c r="B18" i="6"/>
  <c r="B11" i="6"/>
  <c r="B7" i="6"/>
  <c r="E8" i="8"/>
  <c r="F8" i="8" s="1"/>
  <c r="B15" i="6"/>
  <c r="E16" i="5"/>
  <c r="E7" i="8"/>
  <c r="F7" i="8" s="1"/>
  <c r="B20" i="6"/>
  <c r="B21" i="6"/>
  <c r="B17" i="6"/>
  <c r="B4" i="6"/>
  <c r="B16" i="6"/>
  <c r="B19" i="6"/>
  <c r="B23" i="6"/>
  <c r="B12" i="6"/>
  <c r="C8" i="8"/>
  <c r="D8" i="8" s="1"/>
  <c r="C16" i="5"/>
  <c r="E5" i="8"/>
  <c r="F5" i="8" s="1"/>
  <c r="B5" i="6"/>
  <c r="C5" i="8"/>
  <c r="D5" i="8" s="1"/>
  <c r="C7" i="8"/>
  <c r="D7" i="8" s="1"/>
  <c r="B10" i="6"/>
  <c r="B13" i="6"/>
  <c r="B6" i="6"/>
  <c r="B9" i="6"/>
  <c r="B14" i="6"/>
  <c r="C9" i="9"/>
  <c r="D9" i="9" s="1"/>
  <c r="C6" i="7"/>
  <c r="D6" i="7" s="1"/>
  <c r="E6" i="7" s="1"/>
  <c r="F6" i="7" s="1"/>
  <c r="C6" i="9"/>
  <c r="D6" i="9" s="1"/>
  <c r="C7" i="11"/>
  <c r="C13" i="11" s="1"/>
  <c r="C6" i="11"/>
  <c r="C12" i="11" s="1"/>
  <c r="C5" i="11"/>
  <c r="C11" i="11" s="1"/>
  <c r="I5" i="8"/>
  <c r="J5" i="8" s="1"/>
  <c r="D19" i="6"/>
  <c r="G6" i="8"/>
  <c r="H6" i="8" s="1"/>
  <c r="I7" i="8"/>
  <c r="J7" i="8" s="1"/>
  <c r="G7" i="8"/>
  <c r="H7" i="8" s="1"/>
  <c r="D13" i="6"/>
  <c r="D5" i="6"/>
  <c r="D8" i="6"/>
  <c r="D4" i="6"/>
  <c r="E17" i="5"/>
  <c r="D21" i="6"/>
  <c r="D23" i="6"/>
  <c r="D16" i="6"/>
  <c r="D12" i="6"/>
  <c r="B17" i="5"/>
  <c r="D20" i="6"/>
  <c r="D10" i="6"/>
  <c r="D6" i="6"/>
  <c r="D9" i="6"/>
  <c r="C17" i="5"/>
  <c r="D17" i="5"/>
  <c r="D22" i="6"/>
  <c r="D15" i="6"/>
  <c r="G8" i="8"/>
  <c r="H8" i="8" s="1"/>
  <c r="I6" i="8"/>
  <c r="J6" i="8" s="1"/>
  <c r="D18" i="6"/>
  <c r="I8" i="8"/>
  <c r="J8" i="8" s="1"/>
  <c r="D14" i="6"/>
  <c r="D7" i="6"/>
  <c r="D11" i="6"/>
  <c r="D17" i="6"/>
  <c r="G5" i="8"/>
  <c r="H5" i="8" s="1"/>
  <c r="C10" i="7"/>
  <c r="D10" i="7" s="1"/>
  <c r="E10" i="7" s="1"/>
  <c r="F10" i="7" s="1"/>
  <c r="D20" i="5"/>
  <c r="C20" i="5"/>
  <c r="E20" i="5"/>
  <c r="B20" i="5"/>
  <c r="E18" i="5"/>
  <c r="D18" i="5"/>
  <c r="B18" i="5"/>
  <c r="C18" i="5"/>
  <c r="E11" i="6" l="1"/>
  <c r="G11" i="6"/>
  <c r="E12" i="6"/>
  <c r="G12" i="6"/>
  <c r="C23" i="6"/>
  <c r="F23" i="6"/>
  <c r="C22" i="6"/>
  <c r="F22" i="6"/>
  <c r="C16" i="6"/>
  <c r="F16" i="6"/>
  <c r="E20" i="6"/>
  <c r="G20" i="6"/>
  <c r="E14" i="6"/>
  <c r="G14" i="6"/>
  <c r="F9" i="9"/>
  <c r="G9" i="9" s="1"/>
  <c r="E9" i="9"/>
  <c r="C13" i="10"/>
  <c r="B13" i="10"/>
  <c r="H9" i="9"/>
  <c r="C4" i="6"/>
  <c r="F4" i="6"/>
  <c r="C17" i="6"/>
  <c r="F17" i="6"/>
  <c r="C21" i="6"/>
  <c r="F21" i="6"/>
  <c r="E8" i="9"/>
  <c r="F8" i="9"/>
  <c r="G8" i="9" s="1"/>
  <c r="B10" i="10"/>
  <c r="C10" i="10"/>
  <c r="H8" i="9"/>
  <c r="E16" i="6"/>
  <c r="G16" i="6"/>
  <c r="E8" i="6"/>
  <c r="G8" i="6"/>
  <c r="C6" i="6"/>
  <c r="F6" i="6"/>
  <c r="C20" i="6"/>
  <c r="F20" i="6"/>
  <c r="E17" i="6"/>
  <c r="G17" i="6"/>
  <c r="E7" i="6"/>
  <c r="G7" i="6"/>
  <c r="C19" i="6"/>
  <c r="F19" i="6"/>
  <c r="C14" i="6"/>
  <c r="F14" i="6"/>
  <c r="E21" i="6"/>
  <c r="G21" i="6"/>
  <c r="E18" i="6"/>
  <c r="G18" i="6"/>
  <c r="E4" i="6"/>
  <c r="G4" i="6"/>
  <c r="E15" i="6"/>
  <c r="G15" i="6"/>
  <c r="E5" i="6"/>
  <c r="G5" i="6"/>
  <c r="E22" i="6"/>
  <c r="G22" i="6"/>
  <c r="E13" i="6"/>
  <c r="G13" i="6"/>
  <c r="C10" i="6"/>
  <c r="F10" i="6"/>
  <c r="F6" i="9"/>
  <c r="G6" i="9" s="1"/>
  <c r="E6" i="9"/>
  <c r="B11" i="10"/>
  <c r="C11" i="10"/>
  <c r="H6" i="9"/>
  <c r="E23" i="6"/>
  <c r="G23" i="6"/>
  <c r="C9" i="6"/>
  <c r="F9" i="6"/>
  <c r="C13" i="6"/>
  <c r="F13" i="6"/>
  <c r="C15" i="6"/>
  <c r="F15" i="6"/>
  <c r="E5" i="9"/>
  <c r="F5" i="9"/>
  <c r="G5" i="9" s="1"/>
  <c r="H5" i="9"/>
  <c r="B9" i="10"/>
  <c r="C9" i="10"/>
  <c r="E9" i="6"/>
  <c r="G9" i="6"/>
  <c r="C7" i="6"/>
  <c r="F7" i="6"/>
  <c r="E6" i="6"/>
  <c r="G6" i="6"/>
  <c r="E19" i="6"/>
  <c r="G19" i="6"/>
  <c r="C11" i="6"/>
  <c r="F11" i="6"/>
  <c r="C5" i="6"/>
  <c r="F5" i="6"/>
  <c r="E10" i="6"/>
  <c r="G10" i="6"/>
  <c r="C18" i="6"/>
  <c r="F18" i="6"/>
  <c r="C12" i="6"/>
  <c r="F12" i="6"/>
  <c r="C8" i="6"/>
  <c r="F8" i="6"/>
</calcChain>
</file>

<file path=xl/sharedStrings.xml><?xml version="1.0" encoding="utf-8"?>
<sst xmlns="http://schemas.openxmlformats.org/spreadsheetml/2006/main" count="405" uniqueCount="334">
  <si>
    <t>Předpoklady — rozpočet LLM · Důkazní materiál 1930</t>
  </si>
  <si>
    <t>JEDINÝ list k editaci. Modrý text = zadaná hodnota, černý = vzorec, žluté podbarvení = klíčová páka. Zdroj všech čísel: technika/llm-rozpocet-2026-07-28.md (operations-economics, 2026-07-28).</t>
  </si>
  <si>
    <t>Kód</t>
  </si>
  <si>
    <t>Předpoklad</t>
  </si>
  <si>
    <t>Hodnota</t>
  </si>
  <si>
    <t>Jednotka</t>
  </si>
  <si>
    <t>Jistota</t>
  </si>
  <si>
    <t>Zdroj / poznámka</t>
  </si>
  <si>
    <t>P-1</t>
  </si>
  <si>
    <t>Ceník poskytovatele (USD / 1M tokenů)</t>
  </si>
  <si>
    <t>viz list Cenik</t>
  </si>
  <si>
    <t>USD/1M tok.</t>
  </si>
  <si>
    <t>Ověřeno</t>
  </si>
  <si>
    <t>skill claude-api, 2026-07-28 — POSKYTOVATEL-SPECIFICKÉ</t>
  </si>
  <si>
    <t>P-2</t>
  </si>
  <si>
    <t>Český tokenizační multiplikátor</t>
  </si>
  <si>
    <t>znaků / token</t>
  </si>
  <si>
    <t>Odhad</t>
  </si>
  <si>
    <t>§3; citlivost na listu Citlivost_tokenizer. Ověřit přes messages.count_tokens.</t>
  </si>
  <si>
    <t>P-3</t>
  </si>
  <si>
    <t>Délka systémového promptu</t>
  </si>
  <si>
    <t>znaků</t>
  </si>
  <si>
    <t>Změřeno</t>
  </si>
  <si>
    <t>prompty/protokol.md v0.3, ř. 12–38</t>
  </si>
  <si>
    <t>P-4</t>
  </si>
  <si>
    <t>Délka šablony formátu vstupu</t>
  </si>
  <si>
    <t>prompty/protokol.md v0.3, ř. 44–56</t>
  </si>
  <si>
    <t>P-5</t>
  </si>
  <si>
    <t>Délka per-uzlové instance vstupu</t>
  </si>
  <si>
    <t>instance farmar-brod proti obsah/*.yaml a rules.js (§2.1)</t>
  </si>
  <si>
    <t>P-6</t>
  </si>
  <si>
    <t>Délka výstupu (protokol 3–5 vět)</t>
  </si>
  <si>
    <t>kanonická ukázka v prompty/protokol.md</t>
  </si>
  <si>
    <t>P-7</t>
  </si>
  <si>
    <t>Volání na run (1p–4p)</t>
  </si>
  <si>
    <t>viz detail ř. 24–32</t>
  </si>
  <si>
    <t>volání / run</t>
  </si>
  <si>
    <t>simulátor prototyp/sim/run.js, 2 000 runů na počet hráčů, strategie kompetentni</t>
  </si>
  <si>
    <t>P-8</t>
  </si>
  <si>
    <t>Podíl zmařených volání (timeout 10 s, chyba, 529)</t>
  </si>
  <si>
    <t>% volání</t>
  </si>
  <si>
    <t>rezerva na síťový ocas a přetížení; zmařené volání se platí celé</t>
  </si>
  <si>
    <t>P-9</t>
  </si>
  <si>
    <t>Steam revenue share</t>
  </si>
  <si>
    <t>% z ceny</t>
  </si>
  <si>
    <t>standard do $10M obratu</t>
  </si>
  <si>
    <t>P-10</t>
  </si>
  <si>
    <t>DPH (CZ); cena 9,99 € je včetně DPH</t>
  </si>
  <si>
    <t>Steam v EU uvádí ceny s DPH; sazby v EU 17–27 % → ±4 % na čistý příjem</t>
  </si>
  <si>
    <t>P-11</t>
  </si>
  <si>
    <t>Kurz EUR → USD</t>
  </si>
  <si>
    <t>USD / EUR</t>
  </si>
  <si>
    <t>vliv lineární a malý</t>
  </si>
  <si>
    <t>P-12</t>
  </si>
  <si>
    <t>Rozdělení runů na hráče</t>
  </si>
  <si>
    <t>viz detail ř. 36–39</t>
  </si>
  <si>
    <t>runů / hráč</t>
  </si>
  <si>
    <t>žádná data; NEJKŘEHČÍ předpoklad celého modelu (§10)</t>
  </si>
  <si>
    <t>P-13</t>
  </si>
  <si>
    <t>Cache hit-rate (aplikační cache protokolů)</t>
  </si>
  <si>
    <t>Volný parametr</t>
  </si>
  <si>
    <t>§6 — neodhaduje se, je to páka. Default 0,60 dle §7 (předgenerování).</t>
  </si>
  <si>
    <t>P-14</t>
  </si>
  <si>
    <t>Fixní infrastruktura (proxy + cache DB)</t>
  </si>
  <si>
    <t>50–150</t>
  </si>
  <si>
    <t>$ / měsíc</t>
  </si>
  <si>
    <t>Cloudflare Workers + KV/D1 nebo malá VPS; pokryto 8 prodanými kopiemi měsíčně</t>
  </si>
  <si>
    <t>P-15</t>
  </si>
  <si>
    <t>Free demo — API náklady</t>
  </si>
  <si>
    <t>$</t>
  </si>
  <si>
    <t>design §9: pevný sólo run s předgenerovaným obsahem</t>
  </si>
  <si>
    <t>Detail P-7 — volání na run (změřeno simulátorem, 2 000 runů na počet hráčů; §4 reportu)</t>
  </si>
  <si>
    <t>Složka</t>
  </si>
  <si>
    <t>1 hráč</t>
  </si>
  <si>
    <t>2 hráči</t>
  </si>
  <si>
    <t>3 hráči</t>
  </si>
  <si>
    <t>4 hráči</t>
  </si>
  <si>
    <t>z toho backbone</t>
  </si>
  <si>
    <t>z toho Zátah</t>
  </si>
  <si>
    <t>z toho léčka</t>
  </si>
  <si>
    <t>z toho konfrontace</t>
  </si>
  <si>
    <t>Volání na run celkem [P-7]</t>
  </si>
  <si>
    <t>Součet složek (kontrola zaokrouhlení proti [P-7])</t>
  </si>
  <si>
    <t>pocet_uzlu v run_end (diagnostika — NENÍ počet volání, nález C)</t>
  </si>
  <si>
    <t>medián volání na run</t>
  </si>
  <si>
    <t>p90 volání na run</t>
  </si>
  <si>
    <t>Detail P-12 — rozdělení runů na hráče (odhad; kalibrace 40 % ≤2 runy · 40 % 3–15 · 15 % 16–80 · 5 % &gt;80, μ=200)</t>
  </si>
  <si>
    <t>Typ hráče</t>
  </si>
  <si>
    <t>Runů na hráče</t>
  </si>
  <si>
    <t>Poznámka</t>
  </si>
  <si>
    <t>medián</t>
  </si>
  <si>
    <t>polovina populace odehraje méně</t>
  </si>
  <si>
    <t>heavy</t>
  </si>
  <si>
    <t>pásmo 15 % populace (16–80 runů) a výš</t>
  </si>
  <si>
    <t>extrém</t>
  </si>
  <si>
    <t>ocas ~5 % populace (&gt;80 runů)</t>
  </si>
  <si>
    <t>populační průměr</t>
  </si>
  <si>
    <t>vážený průměr kalibrace — základ pro $/hráč a marži</t>
  </si>
  <si>
    <t>Příjmová strana — čistý příjem z jedné licence (§8.1)</t>
  </si>
  <si>
    <t>Položka</t>
  </si>
  <si>
    <t>Hrubá cena na Steamu (včetně DPH)</t>
  </si>
  <si>
    <t>€</t>
  </si>
  <si>
    <t>zadaná cena titulu</t>
  </si>
  <si>
    <t>DPH [P-10]</t>
  </si>
  <si>
    <t>%</t>
  </si>
  <si>
    <t>odkaz na P-10</t>
  </si>
  <si>
    <t>Steam revenue share [P-9]</t>
  </si>
  <si>
    <t>odkaz na P-9</t>
  </si>
  <si>
    <t>Kurz EUR → USD [P-11]</t>
  </si>
  <si>
    <t>USD/EUR</t>
  </si>
  <si>
    <t>odkaz na P-11</t>
  </si>
  <si>
    <t>Cena bez DPH</t>
  </si>
  <si>
    <t>vzorec: hrubá cena / (1 + DPH)</t>
  </si>
  <si>
    <t>Po odečtení Steam share</t>
  </si>
  <si>
    <t>vzorec: cena bez DPH × (1 − Steam)</t>
  </si>
  <si>
    <t>ČISTÝ PŘÍJEM NA LICENCI</t>
  </si>
  <si>
    <t>kontrola proti §8.1: 5,779 €</t>
  </si>
  <si>
    <t>kontrola proti §8.1: $6,242 — základ všech break-even výpočtů</t>
  </si>
  <si>
    <t>Doplňkové parametry (§5, §7, §8.2, §8.4)</t>
  </si>
  <si>
    <t>Parametr</t>
  </si>
  <si>
    <t>Sonnet 5 std + prompt cache — cena za volání</t>
  </si>
  <si>
    <t>$ / volání</t>
  </si>
  <si>
    <t>Odvozeno</t>
  </si>
  <si>
    <t>§5: po doplnění 52 tokenů se prefix (~1 200 tok.) cachuje, cache read 0,1× → −40 %</t>
  </si>
  <si>
    <t>Batch API — násobek ceny (sleva −50 %)</t>
  </si>
  <si>
    <t>násobek</t>
  </si>
  <si>
    <t>§7; latence až 24 h → použitelné jen pro offline předgenerování</t>
  </si>
  <si>
    <t>Délka jednoho runu</t>
  </si>
  <si>
    <t>min</t>
  </si>
  <si>
    <t>§8.2: run 8–9 uzlů ≈ 35–40 min</t>
  </si>
  <si>
    <t>Fair-use strop útraty na licenci</t>
  </si>
  <si>
    <t>Návrh</t>
  </si>
  <si>
    <t>§8.4 — návrh; dopad na listu Fair_use</t>
  </si>
  <si>
    <t>Ceník modelů [P-1] — POSKYTOVATEL-SPECIFICKÉ</t>
  </si>
  <si>
    <t>Při změně poskytovatele se mění POUZE tento list; zbytek modelu se přepočítá sám. Ceny ověřeny skillem claude-api 2026-07-28 (§10, §13).</t>
  </si>
  <si>
    <t>Model</t>
  </si>
  <si>
    <t>$ / M vstupních tokenů</t>
  </si>
  <si>
    <t>$ / M výstupních tokenů</t>
  </si>
  <si>
    <t>Poznámka (poskytovatel-specifická)</t>
  </si>
  <si>
    <t>Claude Haiku 4.5</t>
  </si>
  <si>
    <t>Anthropic 1P API. Minimální cachovatelný prefix 4 096 tok. — náš prefix 972 tok. se necachuje (tiše). Prompt caching se nevyplatí (§5).</t>
  </si>
  <si>
    <t>Claude Sonnet 5 (std)</t>
  </si>
  <si>
    <t>Anthropic 1P API. Minimální prefix 1 024 tok. — chybí 52 tokenů (nález D). Cache read 0,1×, write 1,25×, TTL 5 min.</t>
  </si>
  <si>
    <t>Claude Sonnet 5 (zaváděcí do 2026-08-31)</t>
  </si>
  <si>
    <t>Anthropic 1P API, dočasná zaváděcí cena. Po 2026-08-31 platí std sazba.</t>
  </si>
  <si>
    <t>Claude Opus 5</t>
  </si>
  <si>
    <t>Anthropic 1P API. Minimální prefix 512 tok. — náš prefix by se cachoval. Referenční horní mez.</t>
  </si>
  <si>
    <t>třída Flash-Lite (referenční konkurence)</t>
  </si>
  <si>
    <t>JINÝ poskytovatel (třída Gemini 2.5 Flash-Lite, ověřeno WebSearch 2026-07-28). Jiná tokenizace (±20 %), jiné cache násobky i batch sleva.</t>
  </si>
  <si>
    <t>Poskytovatel-agnostické je naopak: volání na run [P-7], délky promptu [P-3..P-6], struktura break-even a čistý příjem, klíčový prostor cache (§10).</t>
  </si>
  <si>
    <t>Náklad na jedno volání (§2)</t>
  </si>
  <si>
    <t>Tokeny = ROUND(znaků / P-2; 0) — tokeny jsou celá čísla. Vše odkazuje na list Predpoklady a Cenik; na tomto listu není žádná zadaná hodnota.</t>
  </si>
  <si>
    <t>Část promptu</t>
  </si>
  <si>
    <t>Znaků</t>
  </si>
  <si>
    <t>Tokenů</t>
  </si>
  <si>
    <t>Ekonomické chování</t>
  </si>
  <si>
    <t>Systémový prompt [P-3]</t>
  </si>
  <si>
    <t>neměnný — identický ve všech voláních</t>
  </si>
  <si>
    <t>Šablona formátu vstupu [P-4]</t>
  </si>
  <si>
    <t>neměnná</t>
  </si>
  <si>
    <t>Stabilní prefix celkem</t>
  </si>
  <si>
    <t>cachovatelný (§5) — 972 tok.</t>
  </si>
  <si>
    <t>Instance uzlu [P-5]</t>
  </si>
  <si>
    <t>mění se per uzel</t>
  </si>
  <si>
    <t>Vstup celkem</t>
  </si>
  <si>
    <t>architektura §2.3 uváděla 600–800 tok. (nález A)</t>
  </si>
  <si>
    <t>Výstup [P-6]</t>
  </si>
  <si>
    <t>prompt caching se ho nikdy nedotkne (nález B)</t>
  </si>
  <si>
    <t>Cena za jedno volání podle modelu (§2.2)</t>
  </si>
  <si>
    <t>$ / M vstup</t>
  </si>
  <si>
    <t>$ / M výstup</t>
  </si>
  <si>
    <t>Cena vstupu ($)</t>
  </si>
  <si>
    <t>Cena výstupu ($)</t>
  </si>
  <si>
    <t>CENA ZA VOLÁNÍ ($)</t>
  </si>
  <si>
    <t>Kontrola proti §2.2 reportu: Claude Haiku 4.5 = $0,002501 za volání. Výstup je 41 % ceny volání (nález B) — sráží ho jedině aplikační cache protokolů, ne prompt caching.</t>
  </si>
  <si>
    <t>Citlivost na českém tokenizeru [P-2] (§3)</t>
  </si>
  <si>
    <t>Jediný nezměřený vstup do ceny volání. Řádek se základem odkazuje přímo na P-2 — změna P-2 posune základ i odchylky.</t>
  </si>
  <si>
    <t>Znaků / token</t>
  </si>
  <si>
    <t>Vstup (tok.)</t>
  </si>
  <si>
    <t>Výstup (tok.)</t>
  </si>
  <si>
    <t>Odchylka od základu</t>
  </si>
  <si>
    <t>pesimisticky</t>
  </si>
  <si>
    <t>ZÁKLAD [P-2]</t>
  </si>
  <si>
    <t>optimisticky</t>
  </si>
  <si>
    <t>Závěr §3: tokenizer o ničem nerozhoduje — ±15 % na čísle, které je o dva řády pod čistým příjmem. Ověřit při stavbě adaptéru, ale nečekat s rozhodnutím.</t>
  </si>
  <si>
    <t>Náklad na jeden run (§4)</t>
  </si>
  <si>
    <t>Efektivní volání = změřená volání × (1 + P-8). Zmařené volání (timeout, chyba, 529) se platí celé.</t>
  </si>
  <si>
    <t>Zmařená volání [P-8]</t>
  </si>
  <si>
    <t>EFEKTIVNÍ VOLÁNÍ NA RUN</t>
  </si>
  <si>
    <t>z toho finálové uzly (Zátah + léčka + konfrontace), efektivní</t>
  </si>
  <si>
    <t>Matice: náklad na run bez cache ($) = efektivní volání × cena za volání</t>
  </si>
  <si>
    <t>Hot-seat 4 hráčů jede z JEDNÉ zakoupené licence, ale generuje o 15 % víc volání než sólo — ekonomicky je horší než sólo. Model je proto konzervativně stavěn na sólo/hot-seat.</t>
  </si>
  <si>
    <t>Nález C: kdo počítá rozpočet z pocet_uzlu místo z volání (band_resolved), podstřelí ho o ~30 %.</t>
  </si>
  <si>
    <t>Křivka nákladu podle cache hit-rate (§6.1) — sólo run</t>
  </si>
  <si>
    <t>Hit = žádné volání → mizí vstup i výstup. náklad/run = efektivní volání × (1 − hit-rate) × cena volání. Break-even = čistý příjem na licenci / náklad na run.</t>
  </si>
  <si>
    <t>Cache hit-rate</t>
  </si>
  <si>
    <t>Haiku 4.5 — $ / run</t>
  </si>
  <si>
    <t>Haiku 4.5 — € / run</t>
  </si>
  <si>
    <t>Sonnet 5 std — $ / run</t>
  </si>
  <si>
    <t>Sonnet 5 std — € / run</t>
  </si>
  <si>
    <t>Break-even Haiku (runů)</t>
  </si>
  <si>
    <t>Break-even Sonnet 5 (runů)</t>
  </si>
  <si>
    <t>Break-even proti ceně 9,99 € (§8.2)</t>
  </si>
  <si>
    <t>Break-even = čistý příjem na licenci (Predpoklady!C50) / náklad na run bez cache. Hodiny hry = break-even × délka runu [P-2 doplňkové, 37,5 min] / 60.</t>
  </si>
  <si>
    <t>Model / režim</t>
  </si>
  <si>
    <t>Volání / run (efektivní)</t>
  </si>
  <si>
    <t>$ / run (h = 0)</t>
  </si>
  <si>
    <t>Break-even (runů)</t>
  </si>
  <si>
    <t>≈ hodin hry</t>
  </si>
  <si>
    <t>Opus 5, všechny uzly</t>
  </si>
  <si>
    <t>Sonnet 5 std, všechny uzly</t>
  </si>
  <si>
    <t>Sonnet 5 std + prompt cache (§5)</t>
  </si>
  <si>
    <t>Haiku 4.5, všechny uzly</t>
  </si>
  <si>
    <t>Haiku 4.5, jen finálové uzly (§9c)</t>
  </si>
  <si>
    <t>třída Flash-Lite, všechny uzly</t>
  </si>
  <si>
    <t>jen fallbacky (bez LLM)</t>
  </si>
  <si>
    <t>Run = 8–9 uzlů ≈ 35–40 min [odhad]. Model počítá se středem 37,5 min (Predpoklady!C56).</t>
  </si>
  <si>
    <t>Náklad na hráče podle intenzity [P-12] (§8.3)</t>
  </si>
  <si>
    <t>Sloupce s cache používají P-13 z listu Predpoklady — hlavička se přepíše sama. Červeně = náklad překročil čistý příjem z licence (ztrátový hráč).</t>
  </si>
  <si>
    <t>Runů</t>
  </si>
  <si>
    <t>Haiku 4.5 · h = 0 % ($)</t>
  </si>
  <si>
    <t>% čistého příjmu</t>
  </si>
  <si>
    <t>Sonnet 5 std · h = 0 % ($)</t>
  </si>
  <si>
    <t>Nález F: ekonomické riziko není v průměru, je v ocasu. Populační průměr je i na Sonnetu 5 pod 19 % čistého příjmu; ztrátový je výhradně extrémní hráč (~5 % populace), kterého z definice řeší fair-use strop.</t>
  </si>
  <si>
    <t>Scénáře — hlavní výstupní tabulka (§9)</t>
  </si>
  <si>
    <t>Sólo run [P-7, 1 hráč]. $/hráč počítáno na populační průměr 19,8 runu [P-12]. Marže proti čistému příjmu $6,24 na licenci. Verdikt je text z §11, ne vzorec.</t>
  </si>
  <si>
    <t>Varianta</t>
  </si>
  <si>
    <t>$ / run</t>
  </si>
  <si>
    <t>$ / hráč (h = 0)</t>
  </si>
  <si>
    <t>Verdikt</t>
  </si>
  <si>
    <t>Poznámka (§9, §11)</t>
  </si>
  <si>
    <t>(a) plné LLM — Haiku 4.5, všechny uzly</t>
  </si>
  <si>
    <t>udržitelné</t>
  </si>
  <si>
    <t>break-even 320 runů (~200 h); populační náklad 2,5–6,2 % čistého příjmu</t>
  </si>
  <si>
    <t>(b) plné LLM — Sonnet 5 std, všechny uzly</t>
  </si>
  <si>
    <t>rizikové</t>
  </si>
  <si>
    <t>udržitelné v průměru, ale fair-use strop zafunguje po 26–64 runech → byl by viditelný (nález G)</t>
  </si>
  <si>
    <t>(b') Sonnet 5 std + prompt cache (§5)</t>
  </si>
  <si>
    <t>nález D stojí 52 tokenů few-shotu a sráží cenu volání o 40 %; poměr k Haiku klesá z 3,0× na 2,0×</t>
  </si>
  <si>
    <t>(c) hybrid — Haiku 4.5 jen na finálových uzlech</t>
  </si>
  <si>
    <t>nejlevnější varianta s LLM; break-even 792 runů (~500 h)</t>
  </si>
  <si>
    <t>(c') hybrid — Sonnet 5 std jen na finálových uzlech</t>
  </si>
  <si>
    <t>udržitelné s rezervou</t>
  </si>
  <si>
    <t>DOPORUČENO §11: 3× lepší model za +21 % proti (a), míří na uzly, kde run vrcholí</t>
  </si>
  <si>
    <t>(d) žádné LLM — jen fallbacky</t>
  </si>
  <si>
    <t>finančně nulové, ale fallback sada má 28 šablon → opakování kostry uvnitř jednoho runu 52–62 % (§9.1)</t>
  </si>
  <si>
    <t>Fair-use strop na útratu za API (§8.4)</t>
  </si>
  <si>
    <t>Strop útraty na licenci ($)</t>
  </si>
  <si>
    <t>Podíl čistého příjmu z licence</t>
  </si>
  <si>
    <t>Hodnotu stropu edituj v Predpoklady!C57 (modře, žlutě podbarveno) — tento list je jen odkaz, aby model měl jediný zdroj pravdy.</t>
  </si>
  <si>
    <t>Strop na POČET RUNŮ je špatná metrika: s dozrávající cache se mění, co si můžeme dovolit. Strop na útratu se sám uvolňuje a nepotřebuje přeladit při změně modelu ani ceníku.</t>
  </si>
  <si>
    <t>Režim</t>
  </si>
  <si>
    <t>Runů do stropu · h = 0 %</t>
  </si>
  <si>
    <t>Viditelný pro hráče?</t>
  </si>
  <si>
    <t>ne — strop zafunguje daleko za mediánem (6 runů) i za heavy hráčem (100)</t>
  </si>
  <si>
    <t>Haiku 4.5, jen finálové uzly</t>
  </si>
  <si>
    <t>ne — prakticky nezafunguje</t>
  </si>
  <si>
    <t>ANO — nález G: zafunguje u každého trochu zaujatého hráče, porušuje zadání „tichý strop“</t>
  </si>
  <si>
    <t>hraničně — u zaujatého hráče už viditelný</t>
  </si>
  <si>
    <t>Sonnet 5 std, jen finálové uzly</t>
  </si>
  <si>
    <t>ne — doporučená konfigurace §11</t>
  </si>
  <si>
    <t>Po vyčerpání stropu jede hra čistě z cache a fallbacků — což je dle D40 plnohodnotný primární obsah, ne degradace.</t>
  </si>
  <si>
    <t>Předgenerování cache dávkovým API (§7)</t>
  </si>
  <si>
    <t>Batch API má −50 % a latenci až 24 h → pro živé volání nepoužitelné (hra nikdy nečeká na síť), pro naplnění cache před launchem ideální. Cena = objem × cena za volání × násobek batch (Predpoklady!C55).</t>
  </si>
  <si>
    <t>Objem předgenerovaných protokolů</t>
  </si>
  <si>
    <t>Haiku 4.5 batch ($)</t>
  </si>
  <si>
    <t>Sonnet 5 std batch ($)</t>
  </si>
  <si>
    <t>Kolik prodaných kopií to zaplatí (čistý příjem na licenci, Predpoklady!C50)</t>
  </si>
  <si>
    <t>Objem</t>
  </si>
  <si>
    <t>Kopií (Haiku 4.5)</t>
  </si>
  <si>
    <t>Kopií (Sonnet 5 std)</t>
  </si>
  <si>
    <t>Při klíčovém prostoru varianty B (3,6 × 10^5) pokryje 200 000 předgenerovaných protokolů hlavu distribuce → startovní hit-rate 50–65 % od prvního dne místo 0 %.</t>
  </si>
  <si>
    <t>Vedlejší zisky: odpadá cold-start, cache hit = nulová latence, obsah lze projet regresní baterií humor-testera před hráčem, free demo [P-15] může jet z téže databáze.</t>
  </si>
  <si>
    <t>Pozn.: report §7 uvádí orientačně „1 prodaná kopie na 800 protokolů“; model počítá poměr přímo z ceníku a vychází příznivěji (viz řádky 11–13).</t>
  </si>
  <si>
    <t>Legenda a pravidla používání modelu</t>
  </si>
  <si>
    <t>Význam</t>
  </si>
  <si>
    <t>Barevná konvence</t>
  </si>
  <si>
    <t>modrý text</t>
  </si>
  <si>
    <t>zadaná (hardcodovaná) hodnota — vstup nebo scénářová páka. Vyskytuje se pouze na listech Predpoklady a Cenik.</t>
  </si>
  <si>
    <t>černý text</t>
  </si>
  <si>
    <t>vzorec počítaný v rámci téhož listu.</t>
  </si>
  <si>
    <t>zelený text</t>
  </si>
  <si>
    <t>odkaz na jiný list téhož sešitu.</t>
  </si>
  <si>
    <t>žluté podbarvení</t>
  </si>
  <si>
    <t>klíčová páka — hodnota, která nejvíc mění výsledek: P-2, P-7, P-8, P-12, P-13, cena licence, fair-use strop.</t>
  </si>
  <si>
    <t>červené číslo</t>
  </si>
  <si>
    <t>podmíněné formátování na listu Naklad_hrace: náklad překročil 100 % čistého příjmu z licence (ztrátový hráč).</t>
  </si>
  <si>
    <t>Kde se edituje</t>
  </si>
  <si>
    <t>Predpoklady</t>
  </si>
  <si>
    <t>JEDINÉ místo k editaci vstupů. Všechny ostatní listy na něj odkazují vzorci; žádná hodnota se nikde neopakuje natvrdo.</t>
  </si>
  <si>
    <t>Cenik</t>
  </si>
  <si>
    <t>druhý a poslední list se zadanými hodnotami — jednotkové ceny modelů. POSKYTOVATEL-SPECIFICKÝ: při změně poskytovatele se mění pouze tento list.</t>
  </si>
  <si>
    <t>Nejrychlejší páky</t>
  </si>
  <si>
    <t>P-13 (cache hit-rate, Predpoklady!C17), P-2 (tokenizer, C6), P-8 (zmařená volání, C12), fair-use strop (C57).</t>
  </si>
  <si>
    <t>Obsah listů</t>
  </si>
  <si>
    <t>vstupy P-1 až P-15, detail P-7 a P-12, příjmová strana licence, doplňkové parametry (§5, §7, §8.2, §8.4).</t>
  </si>
  <si>
    <t>jednotkové ceny modelů a poskytovatel-specifické poznámky (min. cachovatelný prefix, cache násobky).</t>
  </si>
  <si>
    <t>Naklad_volani</t>
  </si>
  <si>
    <t>skladba promptu ve znacích a tokenech (§2.1) a cena za jedno volání pro každý model (§2.2).</t>
  </si>
  <si>
    <t>Citlivost_tokenizer</t>
  </si>
  <si>
    <t>cena volání při 2,2 / 2,5 / 3,0 znaku na token (§3).</t>
  </si>
  <si>
    <t>Naklad_run</t>
  </si>
  <si>
    <t>volání na run 1p–4p, efektivní volání včetně zmařených, matice nákladu na run (§4).</t>
  </si>
  <si>
    <t>Cache_krivka</t>
  </si>
  <si>
    <t>náklad na sólo run a break-even podle cache hit-rate 0–95 % včetně grafu (§6.1).</t>
  </si>
  <si>
    <t>Break_even</t>
  </si>
  <si>
    <t>break-even v runech a hodinách hry pro jednotlivé režimy (§8.2).</t>
  </si>
  <si>
    <t>Naklad_hrace</t>
  </si>
  <si>
    <t>náklad na hráče podle intenzity hraní jako absolutní částka i % čistého příjmu (§8.3).</t>
  </si>
  <si>
    <t>Scenare</t>
  </si>
  <si>
    <t>hlavní výstupní tabulka — varianty (a) až (d) s marží, break-even a verdiktem (§9, §11).</t>
  </si>
  <si>
    <t>Fair_use</t>
  </si>
  <si>
    <t>po kolika runech zafunguje strop $1,50 na licenci a zda to hráč uvidí (§8.4).</t>
  </si>
  <si>
    <t>Predgenerovani</t>
  </si>
  <si>
    <t>cena naplnění cache dávkovým API a kolik prodaných kopií ji zaplatí (§7).</t>
  </si>
  <si>
    <t>Metodické poznámky</t>
  </si>
  <si>
    <t>Zaokrouhlení tokenů</t>
  </si>
  <si>
    <t>Tokeny se počítají jako ROUND(znaků / P-2; 0), protože token je celé číslo. Report §3 v citlivostní tabulce místy počítá s nezaokrouhlenými tokeny — odtud odchylka do 0,1 % u řádků 2,2 a 3,0.</t>
  </si>
  <si>
    <t>Zmařená volání</t>
  </si>
  <si>
    <t>Efektivní volání = změřená volání × (1 + P-8). Zmařené volání se platí celé.</t>
  </si>
  <si>
    <t>Přesnost break-even</t>
  </si>
  <si>
    <t>Model počítá z přesných 7,7868 efektivního volání, report §8.2 z zaokrouhlených 7,79 — proto model ukazuje break-even Haiku 320,5 runu tam, kde report píše 320. Rozdíl je 0,2 %, nikoli chyba.</t>
  </si>
  <si>
    <t>Sólo vs. hot-seat</t>
  </si>
  <si>
    <t>Model je konzervativně stavěn na sólo run. Hot-seat 4 hráčů jede z jedné licence, ale generuje o 15 % víc volání — je ekonomicky horší.</t>
  </si>
  <si>
    <t>Verdikty</t>
  </si>
  <si>
    <t>Sloupec Verdikt na listu Scenare je text převzatý z §11 reportu, ne vzorec — je to úsudek, ne výpočet.</t>
  </si>
  <si>
    <t>Původ a odpovědnost</t>
  </si>
  <si>
    <t>Zdroj všech čísel</t>
  </si>
  <si>
    <t>technika/llm-rozpocet-2026-07-28.md — kanonický report, na který se model odkazuje po sekcích (§n).</t>
  </si>
  <si>
    <t>Autor</t>
  </si>
  <si>
    <t>operations-economics</t>
  </si>
  <si>
    <t>Datum</t>
  </si>
  <si>
    <t>Upozornění</t>
  </si>
  <si>
    <t>Ceník je POSKYTOVATEL-SPECIFICKÝ. Při změně poskytovatele se mění list Cenik (jednotkové ceny), a spolu s ním je potřeba přehodnotit i minimální cachovatelný prefix, násobky cache read/write, batch slevu a tokenizaci (±20 %) — viz §10 reportu.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</si>
</sst>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0.000"/>
    <numFmt numFmtId="166" formatCode="#,##0.0"/>
    <numFmt numFmtId="167" formatCode="#,##0.000"/>
    <numFmt numFmtId="168" formatCode="&quot;$&quot;#,##0.000"/>
    <numFmt numFmtId="169" formatCode="&quot;$&quot;#,##0.00000"/>
    <numFmt numFmtId="170" formatCode="0.0"/>
    <numFmt numFmtId="171" formatCode="&quot;$&quot;#,##0.00"/>
    <numFmt numFmtId="172" formatCode="&quot;$&quot;#,##0.000000"/>
    <numFmt numFmtId="173" formatCode="&quot;$&quot;#,##0.0000"/>
    <numFmt numFmtId="174" formatCode="#,##0.00000"/>
  </numFmts>
  <fonts count="1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3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i/>
      <sz val="9"/>
      <color rgb="FF808080"/>
      <name val="Arial"/>
      <family val="2"/>
      <charset val="238"/>
    </font>
    <font>
      <sz val="10"/>
      <color rgb="FF0000FF"/>
      <name val="Arial"/>
      <family val="2"/>
      <charset val="238"/>
    </font>
    <font>
      <b/>
      <sz val="10"/>
      <color rgb="FF0000FF"/>
      <name val="Arial"/>
      <family val="2"/>
      <charset val="238"/>
    </font>
    <font>
      <i/>
      <sz val="10"/>
      <color rgb="FF0000FF"/>
      <name val="Arial"/>
      <family val="2"/>
      <charset val="238"/>
    </font>
    <font>
      <sz val="10"/>
      <color rgb="FF008000"/>
      <name val="Arial"/>
      <family val="2"/>
      <charset val="238"/>
    </font>
    <font>
      <b/>
      <sz val="10"/>
      <color rgb="FF008000"/>
      <name val="Arial"/>
      <family val="2"/>
      <charset val="238"/>
    </font>
    <font>
      <sz val="10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6" fillId="0" borderId="0" xfId="0" applyFont="1"/>
    <xf numFmtId="2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2" fontId="6" fillId="3" borderId="0" xfId="0" applyNumberFormat="1" applyFont="1" applyFill="1"/>
    <xf numFmtId="0" fontId="6" fillId="3" borderId="0" xfId="0" applyFont="1" applyFill="1"/>
    <xf numFmtId="164" fontId="6" fillId="3" borderId="0" xfId="0" applyNumberFormat="1" applyFont="1" applyFill="1"/>
    <xf numFmtId="2" fontId="7" fillId="3" borderId="0" xfId="0" applyNumberFormat="1" applyFont="1" applyFill="1"/>
    <xf numFmtId="2" fontId="1" fillId="0" borderId="0" xfId="0" applyNumberFormat="1" applyFont="1"/>
    <xf numFmtId="1" fontId="6" fillId="0" borderId="0" xfId="0" applyNumberFormat="1" applyFont="1"/>
    <xf numFmtId="166" fontId="6" fillId="0" borderId="0" xfId="0" applyNumberFormat="1" applyFont="1"/>
    <xf numFmtId="166" fontId="7" fillId="0" borderId="0" xfId="0" applyNumberFormat="1" applyFont="1"/>
    <xf numFmtId="4" fontId="6" fillId="3" borderId="0" xfId="0" applyNumberFormat="1" applyFont="1" applyFill="1"/>
    <xf numFmtId="164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  <xf numFmtId="171" fontId="6" fillId="3" borderId="0" xfId="0" applyNumberFormat="1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71" fontId="6" fillId="0" borderId="0" xfId="0" applyNumberFormat="1" applyFont="1"/>
    <xf numFmtId="171" fontId="8" fillId="0" borderId="0" xfId="0" applyNumberFormat="1" applyFont="1"/>
    <xf numFmtId="0" fontId="4" fillId="0" borderId="0" xfId="0" applyFont="1" applyAlignment="1">
      <alignment wrapText="1"/>
    </xf>
    <xf numFmtId="3" fontId="1" fillId="0" borderId="0" xfId="0" applyNumberFormat="1" applyFont="1"/>
    <xf numFmtId="3" fontId="9" fillId="0" borderId="0" xfId="0" applyNumberFormat="1" applyFont="1"/>
    <xf numFmtId="3" fontId="2" fillId="0" borderId="0" xfId="0" applyNumberFormat="1" applyFont="1"/>
    <xf numFmtId="0" fontId="9" fillId="0" borderId="0" xfId="0" applyFont="1"/>
    <xf numFmtId="171" fontId="9" fillId="0" borderId="0" xfId="0" applyNumberFormat="1" applyFont="1"/>
    <xf numFmtId="172" fontId="1" fillId="0" borderId="0" xfId="0" applyNumberFormat="1" applyFont="1"/>
    <xf numFmtId="172" fontId="2" fillId="0" borderId="0" xfId="0" applyNumberFormat="1" applyFont="1"/>
    <xf numFmtId="2" fontId="10" fillId="0" borderId="0" xfId="0" applyNumberFormat="1" applyFont="1"/>
    <xf numFmtId="164" fontId="2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5" fontId="2" fillId="0" borderId="0" xfId="0" applyNumberFormat="1" applyFont="1"/>
    <xf numFmtId="173" fontId="1" fillId="0" borderId="0" xfId="0" applyNumberFormat="1" applyFont="1"/>
    <xf numFmtId="9" fontId="6" fillId="0" borderId="0" xfId="0" applyNumberFormat="1" applyFont="1"/>
    <xf numFmtId="9" fontId="1" fillId="0" borderId="0" xfId="0" applyNumberFormat="1" applyFont="1"/>
    <xf numFmtId="169" fontId="1" fillId="0" borderId="0" xfId="0" applyNumberFormat="1" applyFont="1"/>
    <xf numFmtId="174" fontId="1" fillId="0" borderId="0" xfId="0" applyNumberFormat="1" applyFont="1"/>
    <xf numFmtId="9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172" fontId="9" fillId="0" borderId="0" xfId="0" applyNumberFormat="1" applyFont="1"/>
    <xf numFmtId="172" fontId="6" fillId="0" borderId="0" xfId="0" applyNumberFormat="1" applyFont="1"/>
    <xf numFmtId="166" fontId="1" fillId="0" borderId="0" xfId="0" applyNumberFormat="1" applyFont="1"/>
    <xf numFmtId="172" fontId="10" fillId="0" borderId="0" xfId="0" applyNumberFormat="1" applyFont="1"/>
    <xf numFmtId="173" fontId="2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10" fillId="0" borderId="0" xfId="0" applyNumberFormat="1" applyFont="1"/>
    <xf numFmtId="165" fontId="10" fillId="0" borderId="0" xfId="0" applyNumberFormat="1" applyFont="1" applyAlignment="1">
      <alignment wrapText="1"/>
    </xf>
    <xf numFmtId="172" fontId="10" fillId="0" borderId="0" xfId="0" applyNumberFormat="1" applyFont="1" applyAlignment="1">
      <alignment wrapText="1"/>
    </xf>
    <xf numFmtId="173" fontId="2" fillId="0" borderId="0" xfId="0" applyNumberFormat="1" applyFont="1" applyAlignment="1">
      <alignment wrapText="1"/>
    </xf>
    <xf numFmtId="168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wrapText="1"/>
    </xf>
    <xf numFmtId="165" fontId="9" fillId="0" borderId="0" xfId="0" applyNumberFormat="1" applyFont="1" applyAlignment="1">
      <alignment wrapText="1"/>
    </xf>
    <xf numFmtId="172" fontId="9" fillId="0" borderId="0" xfId="0" applyNumberFormat="1" applyFont="1" applyAlignment="1">
      <alignment wrapText="1"/>
    </xf>
    <xf numFmtId="173" fontId="1" fillId="0" borderId="0" xfId="0" applyNumberFormat="1" applyFont="1" applyAlignment="1">
      <alignment wrapText="1"/>
    </xf>
    <xf numFmtId="168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165" fontId="6" fillId="0" borderId="0" xfId="0" applyNumberFormat="1" applyFont="1" applyAlignment="1">
      <alignment wrapText="1"/>
    </xf>
    <xf numFmtId="172" fontId="6" fillId="0" borderId="0" xfId="0" applyNumberFormat="1" applyFont="1" applyAlignment="1">
      <alignment wrapText="1"/>
    </xf>
    <xf numFmtId="171" fontId="10" fillId="3" borderId="0" xfId="0" applyNumberFormat="1" applyFont="1" applyFill="1"/>
    <xf numFmtId="3" fontId="1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171" fontId="1" fillId="0" borderId="0" xfId="0" applyNumberFormat="1" applyFont="1"/>
    <xf numFmtId="3" fontId="7" fillId="0" borderId="0" xfId="0" applyNumberFormat="1" applyFont="1"/>
    <xf numFmtId="171" fontId="2" fillId="0" borderId="0" xfId="0" applyNumberFormat="1" applyFont="1"/>
    <xf numFmtId="0" fontId="1" fillId="3" borderId="0" xfId="0" applyFont="1" applyFill="1"/>
    <xf numFmtId="0" fontId="11" fillId="0" borderId="0" xfId="0" applyFont="1"/>
    <xf numFmtId="14" fontId="1" fillId="0" borderId="0" xfId="0" applyNumberFormat="1" applyFont="1" applyAlignment="1">
      <alignment wrapText="1"/>
    </xf>
  </cellXfs>
  <cellStyles count="1">
    <cellStyle name="Normální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/>
              <a:t>Náklad na sólo run podle cache hit-rate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Claude Haiku 4.5</c:v>
          </c:tx>
          <c:marker>
            <c:symbol val="none"/>
          </c:marker>
          <c:xVal>
            <c:numRef>
              <c:f>Cache_krivka!$A$4:$A$23</c:f>
              <c:numCache>
                <c:formatCode>0%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</c:numCache>
            </c:numRef>
          </c:xVal>
          <c:yVal>
            <c:numRef>
              <c:f>Cache_krivka!$B$4:$B$23</c:f>
              <c:numCache>
                <c:formatCode>"$"#\ ##0.00000</c:formatCode>
                <c:ptCount val="20"/>
                <c:pt idx="0">
                  <c:v>1.9474786799999998E-2</c:v>
                </c:pt>
                <c:pt idx="1">
                  <c:v>1.8501047459999996E-2</c:v>
                </c:pt>
                <c:pt idx="2">
                  <c:v>1.7527308119999998E-2</c:v>
                </c:pt>
                <c:pt idx="3">
                  <c:v>1.6553568779999996E-2</c:v>
                </c:pt>
                <c:pt idx="4">
                  <c:v>1.557982944E-2</c:v>
                </c:pt>
                <c:pt idx="5">
                  <c:v>1.4606090099999998E-2</c:v>
                </c:pt>
                <c:pt idx="6">
                  <c:v>1.3632350759999997E-2</c:v>
                </c:pt>
                <c:pt idx="7">
                  <c:v>1.2658611419999998E-2</c:v>
                </c:pt>
                <c:pt idx="8">
                  <c:v>1.1684872079999999E-2</c:v>
                </c:pt>
                <c:pt idx="9">
                  <c:v>1.071113274E-2</c:v>
                </c:pt>
                <c:pt idx="10">
                  <c:v>9.7373933999999988E-3</c:v>
                </c:pt>
                <c:pt idx="11">
                  <c:v>8.7636540600000007E-3</c:v>
                </c:pt>
                <c:pt idx="12">
                  <c:v>7.7899147199999999E-3</c:v>
                </c:pt>
                <c:pt idx="13">
                  <c:v>6.8161753799999983E-3</c:v>
                </c:pt>
                <c:pt idx="14">
                  <c:v>5.8424360399999976E-3</c:v>
                </c:pt>
                <c:pt idx="15">
                  <c:v>4.8686966999999968E-3</c:v>
                </c:pt>
                <c:pt idx="16">
                  <c:v>3.8949573599999965E-3</c:v>
                </c:pt>
                <c:pt idx="17">
                  <c:v>2.9212180199999953E-3</c:v>
                </c:pt>
                <c:pt idx="18">
                  <c:v>1.947478679999995E-3</c:v>
                </c:pt>
                <c:pt idx="19">
                  <c:v>9.7373933999999425E-4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6A-4F20-A516-4E4B61E4E9CF}"/>
            </c:ext>
          </c:extLst>
        </c:ser>
        <c:ser>
          <c:idx val="1"/>
          <c:order val="1"/>
          <c:tx>
            <c:v>Claude Sonnet 5 (std)</c:v>
          </c:tx>
          <c:marker>
            <c:symbol val="none"/>
          </c:marker>
          <c:xVal>
            <c:numRef>
              <c:f>Cache_krivka!$A$4:$A$23</c:f>
              <c:numCache>
                <c:formatCode>0%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</c:numCache>
            </c:numRef>
          </c:xVal>
          <c:yVal>
            <c:numRef>
              <c:f>Cache_krivka!$D$4:$D$23</c:f>
              <c:numCache>
                <c:formatCode>"$"#\ ##0.00000</c:formatCode>
                <c:ptCount val="20"/>
                <c:pt idx="0">
                  <c:v>5.8424360399999993E-2</c:v>
                </c:pt>
                <c:pt idx="1">
                  <c:v>5.5503142379999988E-2</c:v>
                </c:pt>
                <c:pt idx="2">
                  <c:v>5.2581924359999997E-2</c:v>
                </c:pt>
                <c:pt idx="3">
                  <c:v>4.9660706339999992E-2</c:v>
                </c:pt>
                <c:pt idx="4">
                  <c:v>4.6739488319999994E-2</c:v>
                </c:pt>
                <c:pt idx="5">
                  <c:v>4.381827029999999E-2</c:v>
                </c:pt>
                <c:pt idx="6">
                  <c:v>4.0897052279999985E-2</c:v>
                </c:pt>
                <c:pt idx="7">
                  <c:v>3.7975834259999994E-2</c:v>
                </c:pt>
                <c:pt idx="8">
                  <c:v>3.5054616239999996E-2</c:v>
                </c:pt>
                <c:pt idx="9">
                  <c:v>3.2133398219999998E-2</c:v>
                </c:pt>
                <c:pt idx="10">
                  <c:v>2.9212180199999997E-2</c:v>
                </c:pt>
                <c:pt idx="11">
                  <c:v>2.6290962180000002E-2</c:v>
                </c:pt>
                <c:pt idx="12">
                  <c:v>2.3369744159999997E-2</c:v>
                </c:pt>
                <c:pt idx="13">
                  <c:v>2.0448526139999992E-2</c:v>
                </c:pt>
                <c:pt idx="14">
                  <c:v>1.7527308119999991E-2</c:v>
                </c:pt>
                <c:pt idx="15">
                  <c:v>1.4606090099999991E-2</c:v>
                </c:pt>
                <c:pt idx="16">
                  <c:v>1.168487207999999E-2</c:v>
                </c:pt>
                <c:pt idx="17">
                  <c:v>8.7636540599999868E-3</c:v>
                </c:pt>
                <c:pt idx="18">
                  <c:v>5.8424360399999846E-3</c:v>
                </c:pt>
                <c:pt idx="19">
                  <c:v>2.9212180199999827E-3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6A-4F20-A516-4E4B61E4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055471"/>
        <c:axId val="2074627759"/>
      </c:scatterChart>
      <c:valAx>
        <c:axId val="1124055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Cache hit-rate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074627759"/>
        <c:crosses val="autoZero"/>
        <c:crossBetween val="midCat"/>
      </c:valAx>
      <c:valAx>
        <c:axId val="2074627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Náklad na run (USD)</a:t>
                </a:r>
              </a:p>
            </c:rich>
          </c:tx>
          <c:overlay val="0"/>
        </c:title>
        <c:numFmt formatCode="&quot;Kč&quot;#\ ##0.000" sourceLinked="0"/>
        <c:majorTickMark val="out"/>
        <c:minorTickMark val="none"/>
        <c:tickLblPos val="nextTo"/>
        <c:crossAx val="112405547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000">
          <a:latin typeface="Arial"/>
          <a:ea typeface="Arial"/>
          <a:cs typeface="Arial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28</xdr:row>
      <xdr:rowOff>12700</xdr:rowOff>
    </xdr:from>
    <xdr:to>
      <xdr:col>13</xdr:col>
      <xdr:colOff>330200</xdr:colOff>
      <xdr:row>53</xdr:row>
      <xdr:rowOff>155575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3A36A04-9797-02F0-ED22-DAB1811F9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F64B-E089-4DE1-AA12-B266C285B75E}">
  <dimension ref="A1:F60"/>
  <sheetViews>
    <sheetView tabSelected="1"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10.7109375" style="1" customWidth="1"/>
    <col min="2" max="2" width="46.7109375" style="1" customWidth="1"/>
    <col min="3" max="3" width="14.7109375" style="1" customWidth="1"/>
    <col min="4" max="4" width="13.7109375" style="1" customWidth="1"/>
    <col min="5" max="5" width="15.7109375" style="1" customWidth="1"/>
    <col min="6" max="6" width="78.7109375" style="1" customWidth="1"/>
    <col min="7" max="16384" width="9.140625" style="1"/>
  </cols>
  <sheetData>
    <row r="1" spans="1:6" ht="16.5" x14ac:dyDescent="0.25">
      <c r="A1" s="3" t="s">
        <v>0</v>
      </c>
      <c r="F1" s="29"/>
    </row>
    <row r="2" spans="1:6" x14ac:dyDescent="0.2">
      <c r="A2" s="5" t="s">
        <v>1</v>
      </c>
      <c r="F2" s="29"/>
    </row>
    <row r="3" spans="1:6" x14ac:dyDescent="0.2">
      <c r="F3" s="29"/>
    </row>
    <row r="4" spans="1:6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</row>
    <row r="5" spans="1:6" x14ac:dyDescent="0.2">
      <c r="A5" s="1" t="s">
        <v>8</v>
      </c>
      <c r="B5" s="1" t="s">
        <v>9</v>
      </c>
      <c r="C5" s="7" t="s">
        <v>10</v>
      </c>
      <c r="D5" s="1" t="s">
        <v>11</v>
      </c>
      <c r="E5" s="1" t="s">
        <v>12</v>
      </c>
      <c r="F5" s="29" t="s">
        <v>13</v>
      </c>
    </row>
    <row r="6" spans="1:6" x14ac:dyDescent="0.2">
      <c r="A6" s="1" t="s">
        <v>14</v>
      </c>
      <c r="B6" s="1" t="s">
        <v>15</v>
      </c>
      <c r="C6" s="12">
        <v>2.5</v>
      </c>
      <c r="D6" s="1" t="s">
        <v>16</v>
      </c>
      <c r="E6" s="1" t="s">
        <v>17</v>
      </c>
      <c r="F6" s="29" t="s">
        <v>18</v>
      </c>
    </row>
    <row r="7" spans="1:6" x14ac:dyDescent="0.2">
      <c r="A7" s="1" t="s">
        <v>19</v>
      </c>
      <c r="B7" s="1" t="s">
        <v>20</v>
      </c>
      <c r="C7" s="9">
        <v>1716</v>
      </c>
      <c r="D7" s="1" t="s">
        <v>21</v>
      </c>
      <c r="E7" s="1" t="s">
        <v>22</v>
      </c>
      <c r="F7" s="29" t="s">
        <v>23</v>
      </c>
    </row>
    <row r="8" spans="1:6" x14ac:dyDescent="0.2">
      <c r="A8" s="1" t="s">
        <v>24</v>
      </c>
      <c r="B8" s="1" t="s">
        <v>25</v>
      </c>
      <c r="C8" s="9">
        <v>715</v>
      </c>
      <c r="D8" s="1" t="s">
        <v>21</v>
      </c>
      <c r="E8" s="1" t="s">
        <v>22</v>
      </c>
      <c r="F8" s="29" t="s">
        <v>26</v>
      </c>
    </row>
    <row r="9" spans="1:6" x14ac:dyDescent="0.2">
      <c r="A9" s="1" t="s">
        <v>27</v>
      </c>
      <c r="B9" s="1" t="s">
        <v>28</v>
      </c>
      <c r="C9" s="9">
        <v>1234</v>
      </c>
      <c r="D9" s="1" t="s">
        <v>21</v>
      </c>
      <c r="E9" s="1" t="s">
        <v>22</v>
      </c>
      <c r="F9" s="29" t="s">
        <v>29</v>
      </c>
    </row>
    <row r="10" spans="1:6" x14ac:dyDescent="0.2">
      <c r="A10" s="1" t="s">
        <v>30</v>
      </c>
      <c r="B10" s="1" t="s">
        <v>31</v>
      </c>
      <c r="C10" s="9">
        <v>518</v>
      </c>
      <c r="D10" s="1" t="s">
        <v>21</v>
      </c>
      <c r="E10" s="1" t="s">
        <v>22</v>
      </c>
      <c r="F10" s="29" t="s">
        <v>32</v>
      </c>
    </row>
    <row r="11" spans="1:6" x14ac:dyDescent="0.2">
      <c r="A11" s="1" t="s">
        <v>33</v>
      </c>
      <c r="B11" s="1" t="s">
        <v>34</v>
      </c>
      <c r="C11" s="13" t="s">
        <v>35</v>
      </c>
      <c r="D11" s="1" t="s">
        <v>36</v>
      </c>
      <c r="E11" s="1" t="s">
        <v>22</v>
      </c>
      <c r="F11" s="29" t="s">
        <v>37</v>
      </c>
    </row>
    <row r="12" spans="1:6" x14ac:dyDescent="0.2">
      <c r="A12" s="1" t="s">
        <v>38</v>
      </c>
      <c r="B12" s="1" t="s">
        <v>39</v>
      </c>
      <c r="C12" s="14">
        <v>0.03</v>
      </c>
      <c r="D12" s="1" t="s">
        <v>40</v>
      </c>
      <c r="E12" s="1" t="s">
        <v>17</v>
      </c>
      <c r="F12" s="29" t="s">
        <v>41</v>
      </c>
    </row>
    <row r="13" spans="1:6" x14ac:dyDescent="0.2">
      <c r="A13" s="1" t="s">
        <v>42</v>
      </c>
      <c r="B13" s="1" t="s">
        <v>43</v>
      </c>
      <c r="C13" s="10">
        <v>0.3</v>
      </c>
      <c r="D13" s="1" t="s">
        <v>44</v>
      </c>
      <c r="E13" s="1" t="s">
        <v>12</v>
      </c>
      <c r="F13" s="29" t="s">
        <v>45</v>
      </c>
    </row>
    <row r="14" spans="1:6" x14ac:dyDescent="0.2">
      <c r="A14" s="1" t="s">
        <v>46</v>
      </c>
      <c r="B14" s="1" t="s">
        <v>47</v>
      </c>
      <c r="C14" s="10">
        <v>0.21</v>
      </c>
      <c r="D14" s="1" t="s">
        <v>44</v>
      </c>
      <c r="E14" s="1" t="s">
        <v>12</v>
      </c>
      <c r="F14" s="29" t="s">
        <v>48</v>
      </c>
    </row>
    <row r="15" spans="1:6" x14ac:dyDescent="0.2">
      <c r="A15" s="1" t="s">
        <v>49</v>
      </c>
      <c r="B15" s="1" t="s">
        <v>50</v>
      </c>
      <c r="C15" s="11">
        <v>1.08</v>
      </c>
      <c r="D15" s="1" t="s">
        <v>51</v>
      </c>
      <c r="E15" s="1" t="s">
        <v>17</v>
      </c>
      <c r="F15" s="29" t="s">
        <v>52</v>
      </c>
    </row>
    <row r="16" spans="1:6" x14ac:dyDescent="0.2">
      <c r="A16" s="1" t="s">
        <v>53</v>
      </c>
      <c r="B16" s="1" t="s">
        <v>54</v>
      </c>
      <c r="C16" s="13" t="s">
        <v>55</v>
      </c>
      <c r="D16" s="1" t="s">
        <v>56</v>
      </c>
      <c r="E16" s="1" t="s">
        <v>17</v>
      </c>
      <c r="F16" s="29" t="s">
        <v>57</v>
      </c>
    </row>
    <row r="17" spans="1:6" x14ac:dyDescent="0.2">
      <c r="A17" s="1" t="s">
        <v>58</v>
      </c>
      <c r="B17" s="1" t="s">
        <v>59</v>
      </c>
      <c r="C17" s="14">
        <v>0.6</v>
      </c>
      <c r="D17" s="1" t="s">
        <v>40</v>
      </c>
      <c r="E17" s="1" t="s">
        <v>60</v>
      </c>
      <c r="F17" s="29" t="s">
        <v>61</v>
      </c>
    </row>
    <row r="18" spans="1:6" x14ac:dyDescent="0.2">
      <c r="A18" s="1" t="s">
        <v>62</v>
      </c>
      <c r="B18" s="1" t="s">
        <v>63</v>
      </c>
      <c r="C18" s="7" t="s">
        <v>64</v>
      </c>
      <c r="D18" s="1" t="s">
        <v>65</v>
      </c>
      <c r="E18" s="1" t="s">
        <v>17</v>
      </c>
      <c r="F18" s="29" t="s">
        <v>66</v>
      </c>
    </row>
    <row r="19" spans="1:6" x14ac:dyDescent="0.2">
      <c r="A19" s="1" t="s">
        <v>67</v>
      </c>
      <c r="B19" s="1" t="s">
        <v>68</v>
      </c>
      <c r="C19" s="9">
        <v>0</v>
      </c>
      <c r="D19" s="1" t="s">
        <v>69</v>
      </c>
      <c r="E19" s="1" t="s">
        <v>12</v>
      </c>
      <c r="F19" s="29" t="s">
        <v>70</v>
      </c>
    </row>
    <row r="20" spans="1:6" x14ac:dyDescent="0.2">
      <c r="F20" s="29"/>
    </row>
    <row r="21" spans="1:6" x14ac:dyDescent="0.2">
      <c r="F21" s="29"/>
    </row>
    <row r="22" spans="1:6" x14ac:dyDescent="0.2">
      <c r="A22" s="2" t="s">
        <v>71</v>
      </c>
      <c r="F22" s="29"/>
    </row>
    <row r="23" spans="1:6" x14ac:dyDescent="0.2">
      <c r="A23" s="6" t="s">
        <v>72</v>
      </c>
      <c r="B23" s="6" t="s">
        <v>73</v>
      </c>
      <c r="C23" s="6" t="s">
        <v>74</v>
      </c>
      <c r="D23" s="6" t="s">
        <v>75</v>
      </c>
      <c r="E23" s="6" t="s">
        <v>76</v>
      </c>
      <c r="F23" s="29"/>
    </row>
    <row r="24" spans="1:6" x14ac:dyDescent="0.2">
      <c r="A24" s="1" t="s">
        <v>77</v>
      </c>
      <c r="B24" s="8">
        <v>4.5</v>
      </c>
      <c r="C24" s="8">
        <v>4.83</v>
      </c>
      <c r="D24" s="8">
        <v>5.03</v>
      </c>
      <c r="E24" s="8">
        <v>5.07</v>
      </c>
      <c r="F24" s="29"/>
    </row>
    <row r="25" spans="1:6" x14ac:dyDescent="0.2">
      <c r="A25" s="1" t="s">
        <v>78</v>
      </c>
      <c r="B25" s="8">
        <v>1.1399999999999999</v>
      </c>
      <c r="C25" s="8">
        <v>0.99</v>
      </c>
      <c r="D25" s="8">
        <v>0.99</v>
      </c>
      <c r="E25" s="8">
        <v>0.99</v>
      </c>
      <c r="F25" s="29"/>
    </row>
    <row r="26" spans="1:6" x14ac:dyDescent="0.2">
      <c r="A26" s="1" t="s">
        <v>79</v>
      </c>
      <c r="B26" s="8">
        <v>1</v>
      </c>
      <c r="C26" s="8">
        <v>1.44</v>
      </c>
      <c r="D26" s="8">
        <v>1.42</v>
      </c>
      <c r="E26" s="8">
        <v>1.42</v>
      </c>
      <c r="F26" s="29"/>
    </row>
    <row r="27" spans="1:6" x14ac:dyDescent="0.2">
      <c r="A27" s="1" t="s">
        <v>80</v>
      </c>
      <c r="B27" s="8">
        <v>0.92</v>
      </c>
      <c r="C27" s="8">
        <v>1.29</v>
      </c>
      <c r="D27" s="8">
        <v>1.19</v>
      </c>
      <c r="E27" s="8">
        <v>1.19</v>
      </c>
      <c r="F27" s="29"/>
    </row>
    <row r="28" spans="1:6" x14ac:dyDescent="0.2">
      <c r="A28" s="2" t="s">
        <v>81</v>
      </c>
      <c r="B28" s="15">
        <v>7.56</v>
      </c>
      <c r="C28" s="15">
        <v>8.5399999999999991</v>
      </c>
      <c r="D28" s="15">
        <v>8.6300000000000008</v>
      </c>
      <c r="E28" s="15">
        <v>8.66</v>
      </c>
      <c r="F28" s="29"/>
    </row>
    <row r="29" spans="1:6" x14ac:dyDescent="0.2">
      <c r="A29" s="1" t="s">
        <v>82</v>
      </c>
      <c r="B29" s="16">
        <f>SUM(B24:B27)</f>
        <v>7.56</v>
      </c>
      <c r="C29" s="16">
        <f>SUM(C24:C27)</f>
        <v>8.5500000000000007</v>
      </c>
      <c r="D29" s="16">
        <f>SUM(D24:D27)</f>
        <v>8.6300000000000008</v>
      </c>
      <c r="E29" s="16">
        <f>SUM(E24:E27)</f>
        <v>8.67</v>
      </c>
      <c r="F29" s="29"/>
    </row>
    <row r="30" spans="1:6" x14ac:dyDescent="0.2">
      <c r="A30" s="1" t="s">
        <v>83</v>
      </c>
      <c r="B30" s="8">
        <v>6.36</v>
      </c>
      <c r="C30" s="8">
        <v>6.41</v>
      </c>
      <c r="D30" s="8">
        <v>6.63</v>
      </c>
      <c r="E30" s="8">
        <v>6.67</v>
      </c>
      <c r="F30" s="29"/>
    </row>
    <row r="31" spans="1:6" x14ac:dyDescent="0.2">
      <c r="A31" s="1" t="s">
        <v>84</v>
      </c>
      <c r="B31" s="17">
        <v>8</v>
      </c>
      <c r="C31" s="17">
        <v>9</v>
      </c>
      <c r="D31" s="17">
        <v>9</v>
      </c>
      <c r="E31" s="17">
        <v>9</v>
      </c>
      <c r="F31" s="29"/>
    </row>
    <row r="32" spans="1:6" x14ac:dyDescent="0.2">
      <c r="A32" s="1" t="s">
        <v>85</v>
      </c>
      <c r="B32" s="17">
        <v>11</v>
      </c>
      <c r="C32" s="17">
        <v>11</v>
      </c>
      <c r="D32" s="17">
        <v>11</v>
      </c>
      <c r="E32" s="17">
        <v>11</v>
      </c>
      <c r="F32" s="29"/>
    </row>
    <row r="33" spans="1:6" x14ac:dyDescent="0.2">
      <c r="F33" s="29"/>
    </row>
    <row r="34" spans="1:6" x14ac:dyDescent="0.2">
      <c r="A34" s="2" t="s">
        <v>86</v>
      </c>
      <c r="F34" s="29"/>
    </row>
    <row r="35" spans="1:6" x14ac:dyDescent="0.2">
      <c r="A35" s="6" t="s">
        <v>87</v>
      </c>
      <c r="B35" s="6" t="s">
        <v>88</v>
      </c>
      <c r="C35" s="6" t="s">
        <v>89</v>
      </c>
      <c r="F35" s="29"/>
    </row>
    <row r="36" spans="1:6" x14ac:dyDescent="0.2">
      <c r="A36" s="1" t="s">
        <v>90</v>
      </c>
      <c r="B36" s="18">
        <v>6</v>
      </c>
      <c r="C36" s="1" t="s">
        <v>91</v>
      </c>
      <c r="F36" s="29"/>
    </row>
    <row r="37" spans="1:6" x14ac:dyDescent="0.2">
      <c r="A37" s="1" t="s">
        <v>92</v>
      </c>
      <c r="B37" s="18">
        <v>100</v>
      </c>
      <c r="C37" s="1" t="s">
        <v>93</v>
      </c>
      <c r="F37" s="29"/>
    </row>
    <row r="38" spans="1:6" x14ac:dyDescent="0.2">
      <c r="A38" s="1" t="s">
        <v>94</v>
      </c>
      <c r="B38" s="18">
        <v>500</v>
      </c>
      <c r="C38" s="1" t="s">
        <v>95</v>
      </c>
      <c r="F38" s="29"/>
    </row>
    <row r="39" spans="1:6" x14ac:dyDescent="0.2">
      <c r="A39" s="2" t="s">
        <v>96</v>
      </c>
      <c r="B39" s="19">
        <v>19.8</v>
      </c>
      <c r="C39" s="1" t="s">
        <v>97</v>
      </c>
      <c r="F39" s="29"/>
    </row>
    <row r="40" spans="1:6" x14ac:dyDescent="0.2">
      <c r="F40" s="29"/>
    </row>
    <row r="41" spans="1:6" x14ac:dyDescent="0.2">
      <c r="A41" s="2" t="s">
        <v>98</v>
      </c>
      <c r="F41" s="29"/>
    </row>
    <row r="42" spans="1:6" x14ac:dyDescent="0.2">
      <c r="A42" s="6" t="s">
        <v>99</v>
      </c>
      <c r="B42" s="6"/>
      <c r="C42" s="6" t="s">
        <v>4</v>
      </c>
      <c r="D42" s="6" t="s">
        <v>5</v>
      </c>
      <c r="E42" s="6"/>
      <c r="F42" s="6" t="s">
        <v>89</v>
      </c>
    </row>
    <row r="43" spans="1:6" x14ac:dyDescent="0.2">
      <c r="A43" s="1" t="s">
        <v>100</v>
      </c>
      <c r="C43" s="20">
        <v>9.99</v>
      </c>
      <c r="D43" s="1" t="s">
        <v>101</v>
      </c>
      <c r="F43" s="29" t="s">
        <v>102</v>
      </c>
    </row>
    <row r="44" spans="1:6" x14ac:dyDescent="0.2">
      <c r="A44" s="1" t="s">
        <v>103</v>
      </c>
      <c r="C44" s="21">
        <f>C14</f>
        <v>0.21</v>
      </c>
      <c r="D44" s="1" t="s">
        <v>104</v>
      </c>
      <c r="F44" s="29" t="s">
        <v>105</v>
      </c>
    </row>
    <row r="45" spans="1:6" x14ac:dyDescent="0.2">
      <c r="A45" s="1" t="s">
        <v>106</v>
      </c>
      <c r="C45" s="21">
        <f>C13</f>
        <v>0.3</v>
      </c>
      <c r="D45" s="1" t="s">
        <v>104</v>
      </c>
      <c r="F45" s="29" t="s">
        <v>107</v>
      </c>
    </row>
    <row r="46" spans="1:6" x14ac:dyDescent="0.2">
      <c r="A46" s="1" t="s">
        <v>108</v>
      </c>
      <c r="C46" s="22">
        <f>C15</f>
        <v>1.08</v>
      </c>
      <c r="D46" s="1" t="s">
        <v>109</v>
      </c>
      <c r="F46" s="29" t="s">
        <v>110</v>
      </c>
    </row>
    <row r="47" spans="1:6" x14ac:dyDescent="0.2">
      <c r="A47" s="1" t="s">
        <v>111</v>
      </c>
      <c r="C47" s="23">
        <f>C43/(1+C44)</f>
        <v>8.2561983471074392</v>
      </c>
      <c r="D47" s="1" t="s">
        <v>101</v>
      </c>
      <c r="F47" s="29" t="s">
        <v>112</v>
      </c>
    </row>
    <row r="48" spans="1:6" x14ac:dyDescent="0.2">
      <c r="A48" s="1" t="s">
        <v>113</v>
      </c>
      <c r="C48" s="23">
        <f>C47*(1-C45)</f>
        <v>5.7793388429752071</v>
      </c>
      <c r="D48" s="1" t="s">
        <v>101</v>
      </c>
      <c r="F48" s="29" t="s">
        <v>114</v>
      </c>
    </row>
    <row r="49" spans="1:6" x14ac:dyDescent="0.2">
      <c r="A49" s="2" t="s">
        <v>115</v>
      </c>
      <c r="B49" s="2"/>
      <c r="C49" s="24">
        <f>C48</f>
        <v>5.7793388429752071</v>
      </c>
      <c r="D49" s="2" t="s">
        <v>101</v>
      </c>
      <c r="E49" s="2"/>
      <c r="F49" s="30" t="s">
        <v>116</v>
      </c>
    </row>
    <row r="50" spans="1:6" x14ac:dyDescent="0.2">
      <c r="A50" s="2" t="s">
        <v>115</v>
      </c>
      <c r="B50" s="2"/>
      <c r="C50" s="25">
        <f>C49*C46</f>
        <v>6.241685950413224</v>
      </c>
      <c r="D50" s="2" t="s">
        <v>69</v>
      </c>
      <c r="E50" s="2"/>
      <c r="F50" s="30" t="s">
        <v>117</v>
      </c>
    </row>
    <row r="51" spans="1:6" x14ac:dyDescent="0.2">
      <c r="F51" s="29"/>
    </row>
    <row r="52" spans="1:6" x14ac:dyDescent="0.2">
      <c r="A52" s="2" t="s">
        <v>118</v>
      </c>
      <c r="F52" s="29"/>
    </row>
    <row r="53" spans="1:6" x14ac:dyDescent="0.2">
      <c r="A53" s="6" t="s">
        <v>119</v>
      </c>
      <c r="B53" s="6"/>
      <c r="C53" s="6" t="s">
        <v>4</v>
      </c>
      <c r="D53" s="6" t="s">
        <v>5</v>
      </c>
      <c r="E53" s="6" t="s">
        <v>6</v>
      </c>
      <c r="F53" s="6" t="s">
        <v>7</v>
      </c>
    </row>
    <row r="54" spans="1:6" x14ac:dyDescent="0.2">
      <c r="A54" s="1" t="s">
        <v>120</v>
      </c>
      <c r="C54" s="26">
        <v>4.9500000000000004E-3</v>
      </c>
      <c r="D54" s="1" t="s">
        <v>121</v>
      </c>
      <c r="E54" s="1" t="s">
        <v>122</v>
      </c>
      <c r="F54" s="29" t="s">
        <v>123</v>
      </c>
    </row>
    <row r="55" spans="1:6" x14ac:dyDescent="0.2">
      <c r="A55" s="1" t="s">
        <v>124</v>
      </c>
      <c r="C55" s="8">
        <v>0.5</v>
      </c>
      <c r="D55" s="1" t="s">
        <v>125</v>
      </c>
      <c r="E55" s="1" t="s">
        <v>12</v>
      </c>
      <c r="F55" s="29" t="s">
        <v>126</v>
      </c>
    </row>
    <row r="56" spans="1:6" x14ac:dyDescent="0.2">
      <c r="A56" s="1" t="s">
        <v>127</v>
      </c>
      <c r="C56" s="27">
        <v>37.5</v>
      </c>
      <c r="D56" s="1" t="s">
        <v>128</v>
      </c>
      <c r="E56" s="1" t="s">
        <v>17</v>
      </c>
      <c r="F56" s="29" t="s">
        <v>129</v>
      </c>
    </row>
    <row r="57" spans="1:6" x14ac:dyDescent="0.2">
      <c r="A57" s="1" t="s">
        <v>130</v>
      </c>
      <c r="C57" s="28">
        <v>1.5</v>
      </c>
      <c r="D57" s="1" t="s">
        <v>69</v>
      </c>
      <c r="E57" s="1" t="s">
        <v>131</v>
      </c>
      <c r="F57" s="29" t="s">
        <v>132</v>
      </c>
    </row>
    <row r="58" spans="1:6" x14ac:dyDescent="0.2">
      <c r="F58" s="29"/>
    </row>
    <row r="59" spans="1:6" x14ac:dyDescent="0.2">
      <c r="F59" s="29"/>
    </row>
    <row r="60" spans="1:6" x14ac:dyDescent="0.2">
      <c r="F60" s="29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DD1E-BEFB-4489-AE83-4F5E225EFEFE}">
  <dimension ref="A1:D12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42.7109375" style="1" customWidth="1"/>
    <col min="2" max="3" width="22.7109375" style="1" customWidth="1"/>
    <col min="4" max="4" width="95.7109375" style="1" customWidth="1"/>
    <col min="5" max="16384" width="9.140625" style="1"/>
  </cols>
  <sheetData>
    <row r="1" spans="1:4" ht="16.5" x14ac:dyDescent="0.25">
      <c r="A1" s="3" t="s">
        <v>133</v>
      </c>
      <c r="D1" s="29"/>
    </row>
    <row r="2" spans="1:4" x14ac:dyDescent="0.2">
      <c r="A2" s="5" t="s">
        <v>134</v>
      </c>
      <c r="D2" s="29"/>
    </row>
    <row r="3" spans="1:4" x14ac:dyDescent="0.2">
      <c r="D3" s="29"/>
    </row>
    <row r="4" spans="1:4" x14ac:dyDescent="0.2">
      <c r="A4" s="6" t="s">
        <v>135</v>
      </c>
      <c r="B4" s="6" t="s">
        <v>136</v>
      </c>
      <c r="C4" s="6" t="s">
        <v>137</v>
      </c>
      <c r="D4" s="6" t="s">
        <v>138</v>
      </c>
    </row>
    <row r="5" spans="1:4" ht="25.5" x14ac:dyDescent="0.2">
      <c r="A5" s="1" t="s">
        <v>139</v>
      </c>
      <c r="B5" s="31">
        <v>1</v>
      </c>
      <c r="C5" s="31">
        <v>5</v>
      </c>
      <c r="D5" s="29" t="s">
        <v>140</v>
      </c>
    </row>
    <row r="6" spans="1:4" ht="25.5" x14ac:dyDescent="0.2">
      <c r="A6" s="1" t="s">
        <v>141</v>
      </c>
      <c r="B6" s="31">
        <v>3</v>
      </c>
      <c r="C6" s="31">
        <v>15</v>
      </c>
      <c r="D6" s="29" t="s">
        <v>142</v>
      </c>
    </row>
    <row r="7" spans="1:4" x14ac:dyDescent="0.2">
      <c r="A7" s="1" t="s">
        <v>143</v>
      </c>
      <c r="B7" s="31">
        <v>2</v>
      </c>
      <c r="C7" s="31">
        <v>10</v>
      </c>
      <c r="D7" s="29" t="s">
        <v>144</v>
      </c>
    </row>
    <row r="8" spans="1:4" x14ac:dyDescent="0.2">
      <c r="A8" s="1" t="s">
        <v>145</v>
      </c>
      <c r="B8" s="31">
        <v>5</v>
      </c>
      <c r="C8" s="31">
        <v>25</v>
      </c>
      <c r="D8" s="29" t="s">
        <v>146</v>
      </c>
    </row>
    <row r="9" spans="1:4" ht="25.5" x14ac:dyDescent="0.2">
      <c r="A9" s="4" t="s">
        <v>147</v>
      </c>
      <c r="B9" s="32">
        <v>0.1</v>
      </c>
      <c r="C9" s="32">
        <v>0.4</v>
      </c>
      <c r="D9" s="33" t="s">
        <v>148</v>
      </c>
    </row>
    <row r="10" spans="1:4" x14ac:dyDescent="0.2">
      <c r="D10" s="29"/>
    </row>
    <row r="11" spans="1:4" x14ac:dyDescent="0.2">
      <c r="A11" s="5" t="s">
        <v>149</v>
      </c>
      <c r="D11" s="29"/>
    </row>
    <row r="12" spans="1:4" x14ac:dyDescent="0.2">
      <c r="D12" s="2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E064-995F-4B1B-AECB-96994306B320}">
  <dimension ref="A1:F20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42.7109375" style="1" customWidth="1"/>
    <col min="2" max="3" width="16.7109375" style="1" customWidth="1"/>
    <col min="4" max="5" width="17.7109375" style="1" customWidth="1"/>
    <col min="6" max="6" width="20.7109375" style="1" customWidth="1"/>
    <col min="7" max="16384" width="9.140625" style="1"/>
  </cols>
  <sheetData>
    <row r="1" spans="1:6" ht="16.5" x14ac:dyDescent="0.25">
      <c r="A1" s="3" t="s">
        <v>150</v>
      </c>
    </row>
    <row r="2" spans="1:6" x14ac:dyDescent="0.2">
      <c r="A2" s="5" t="s">
        <v>151</v>
      </c>
    </row>
    <row r="4" spans="1:6" ht="38.25" x14ac:dyDescent="0.2">
      <c r="A4" s="6" t="s">
        <v>152</v>
      </c>
      <c r="B4" s="6" t="s">
        <v>153</v>
      </c>
      <c r="C4" s="6" t="s">
        <v>154</v>
      </c>
      <c r="D4" s="6" t="s">
        <v>155</v>
      </c>
    </row>
    <row r="5" spans="1:6" x14ac:dyDescent="0.2">
      <c r="A5" s="1" t="s">
        <v>156</v>
      </c>
      <c r="B5" s="35">
        <f>Predpoklady!$C$7</f>
        <v>1716</v>
      </c>
      <c r="C5" s="34">
        <f>ROUND(B5/Predpoklady!$C$6,0)</f>
        <v>686</v>
      </c>
      <c r="D5" s="1" t="s">
        <v>157</v>
      </c>
    </row>
    <row r="6" spans="1:6" x14ac:dyDescent="0.2">
      <c r="A6" s="1" t="s">
        <v>158</v>
      </c>
      <c r="B6" s="35">
        <f>Predpoklady!$C$8</f>
        <v>715</v>
      </c>
      <c r="C6" s="34">
        <f>ROUND(B6/Predpoklady!$C$6,0)</f>
        <v>286</v>
      </c>
      <c r="D6" s="1" t="s">
        <v>159</v>
      </c>
    </row>
    <row r="7" spans="1:6" x14ac:dyDescent="0.2">
      <c r="A7" s="2" t="s">
        <v>160</v>
      </c>
      <c r="B7" s="36">
        <f>B5+B6</f>
        <v>2431</v>
      </c>
      <c r="C7" s="36">
        <f>ROUND(B7/Predpoklady!$C$6,0)</f>
        <v>972</v>
      </c>
      <c r="D7" s="2" t="s">
        <v>161</v>
      </c>
    </row>
    <row r="8" spans="1:6" x14ac:dyDescent="0.2">
      <c r="A8" s="1" t="s">
        <v>162</v>
      </c>
      <c r="B8" s="35">
        <f>Predpoklady!$C$9</f>
        <v>1234</v>
      </c>
      <c r="C8" s="34">
        <f>ROUND(B8/Predpoklady!$C$6,0)</f>
        <v>494</v>
      </c>
      <c r="D8" s="1" t="s">
        <v>163</v>
      </c>
    </row>
    <row r="9" spans="1:6" x14ac:dyDescent="0.2">
      <c r="A9" s="2" t="s">
        <v>164</v>
      </c>
      <c r="B9" s="36">
        <f>B7+B8</f>
        <v>3665</v>
      </c>
      <c r="C9" s="36">
        <f>ROUND(B9/Predpoklady!$C$6,0)</f>
        <v>1466</v>
      </c>
      <c r="D9" s="2" t="s">
        <v>165</v>
      </c>
    </row>
    <row r="10" spans="1:6" x14ac:dyDescent="0.2">
      <c r="A10" s="1" t="s">
        <v>166</v>
      </c>
      <c r="B10" s="35">
        <f>Predpoklady!$C$10</f>
        <v>518</v>
      </c>
      <c r="C10" s="34">
        <f>ROUND(B10/Predpoklady!$C$6,0)</f>
        <v>207</v>
      </c>
      <c r="D10" s="1" t="s">
        <v>167</v>
      </c>
    </row>
    <row r="12" spans="1:6" x14ac:dyDescent="0.2">
      <c r="A12" s="2" t="s">
        <v>168</v>
      </c>
    </row>
    <row r="13" spans="1:6" ht="38.25" x14ac:dyDescent="0.2">
      <c r="A13" s="6" t="s">
        <v>135</v>
      </c>
      <c r="B13" s="6" t="s">
        <v>169</v>
      </c>
      <c r="C13" s="6" t="s">
        <v>170</v>
      </c>
      <c r="D13" s="6" t="s">
        <v>171</v>
      </c>
      <c r="E13" s="6" t="s">
        <v>172</v>
      </c>
      <c r="F13" s="6" t="s">
        <v>173</v>
      </c>
    </row>
    <row r="14" spans="1:6" x14ac:dyDescent="0.2">
      <c r="A14" s="37" t="str">
        <f>Cenik!A5</f>
        <v>Claude Haiku 4.5</v>
      </c>
      <c r="B14" s="38">
        <f>Cenik!B5</f>
        <v>1</v>
      </c>
      <c r="C14" s="38">
        <f>Cenik!C5</f>
        <v>5</v>
      </c>
      <c r="D14" s="39">
        <f>$C$9/1000000*B14</f>
        <v>1.4660000000000001E-3</v>
      </c>
      <c r="E14" s="39">
        <f>$C$10/1000000*C14</f>
        <v>1.0349999999999999E-3</v>
      </c>
      <c r="F14" s="40">
        <f>D14+E14</f>
        <v>2.5009999999999998E-3</v>
      </c>
    </row>
    <row r="15" spans="1:6" x14ac:dyDescent="0.2">
      <c r="A15" s="37" t="str">
        <f>Cenik!A6</f>
        <v>Claude Sonnet 5 (std)</v>
      </c>
      <c r="B15" s="38">
        <f>Cenik!B6</f>
        <v>3</v>
      </c>
      <c r="C15" s="38">
        <f>Cenik!C6</f>
        <v>15</v>
      </c>
      <c r="D15" s="39">
        <f>$C$9/1000000*B15</f>
        <v>4.398E-3</v>
      </c>
      <c r="E15" s="39">
        <f>$C$10/1000000*C15</f>
        <v>3.1049999999999997E-3</v>
      </c>
      <c r="F15" s="40">
        <f>D15+E15</f>
        <v>7.5029999999999993E-3</v>
      </c>
    </row>
    <row r="16" spans="1:6" x14ac:dyDescent="0.2">
      <c r="A16" s="37" t="str">
        <f>Cenik!A7</f>
        <v>Claude Sonnet 5 (zaváděcí do 2026-08-31)</v>
      </c>
      <c r="B16" s="38">
        <f>Cenik!B7</f>
        <v>2</v>
      </c>
      <c r="C16" s="38">
        <f>Cenik!C7</f>
        <v>10</v>
      </c>
      <c r="D16" s="39">
        <f>$C$9/1000000*B16</f>
        <v>2.9320000000000001E-3</v>
      </c>
      <c r="E16" s="39">
        <f>$C$10/1000000*C16</f>
        <v>2.0699999999999998E-3</v>
      </c>
      <c r="F16" s="40">
        <f>D16+E16</f>
        <v>5.0019999999999995E-3</v>
      </c>
    </row>
    <row r="17" spans="1:6" x14ac:dyDescent="0.2">
      <c r="A17" s="37" t="str">
        <f>Cenik!A8</f>
        <v>Claude Opus 5</v>
      </c>
      <c r="B17" s="38">
        <f>Cenik!B8</f>
        <v>5</v>
      </c>
      <c r="C17" s="38">
        <f>Cenik!C8</f>
        <v>25</v>
      </c>
      <c r="D17" s="39">
        <f>$C$9/1000000*B17</f>
        <v>7.3300000000000006E-3</v>
      </c>
      <c r="E17" s="39">
        <f>$C$10/1000000*C17</f>
        <v>5.1749999999999999E-3</v>
      </c>
      <c r="F17" s="40">
        <f>D17+E17</f>
        <v>1.2505E-2</v>
      </c>
    </row>
    <row r="18" spans="1:6" x14ac:dyDescent="0.2">
      <c r="A18" s="37" t="str">
        <f>Cenik!A9</f>
        <v>třída Flash-Lite (referenční konkurence)</v>
      </c>
      <c r="B18" s="38">
        <f>Cenik!B9</f>
        <v>0.1</v>
      </c>
      <c r="C18" s="38">
        <f>Cenik!C9</f>
        <v>0.4</v>
      </c>
      <c r="D18" s="39">
        <f>$C$9/1000000*B18</f>
        <v>1.4660000000000001E-4</v>
      </c>
      <c r="E18" s="39">
        <f>$C$10/1000000*C18</f>
        <v>8.2800000000000007E-5</v>
      </c>
      <c r="F18" s="40">
        <f>D18+E18</f>
        <v>2.2940000000000002E-4</v>
      </c>
    </row>
    <row r="20" spans="1:6" x14ac:dyDescent="0.2">
      <c r="A20" s="5" t="s">
        <v>174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5123-93A5-4176-97DA-8E31C32B0A3F}">
  <dimension ref="A1:J8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4.7109375" style="1" customWidth="1"/>
    <col min="2" max="3" width="13.7109375" style="1" customWidth="1"/>
    <col min="4" max="8" width="18.7109375" style="1" customWidth="1"/>
    <col min="9" max="9" width="19.7109375" style="1" customWidth="1"/>
    <col min="10" max="10" width="18.7109375" style="1" customWidth="1"/>
    <col min="11" max="16384" width="9.140625" style="1"/>
  </cols>
  <sheetData>
    <row r="1" spans="1:10" ht="16.5" x14ac:dyDescent="0.25">
      <c r="A1" s="3" t="s">
        <v>175</v>
      </c>
    </row>
    <row r="2" spans="1:10" x14ac:dyDescent="0.2">
      <c r="A2" s="5" t="s">
        <v>176</v>
      </c>
    </row>
    <row r="3" spans="1:10" ht="89.25" x14ac:dyDescent="0.2">
      <c r="A3" s="6" t="s">
        <v>177</v>
      </c>
      <c r="B3" s="6" t="s">
        <v>178</v>
      </c>
      <c r="C3" s="6" t="s">
        <v>179</v>
      </c>
      <c r="D3" s="6" t="str">
        <f>Naklad_volani!$A$14</f>
        <v>Claude Haiku 4.5</v>
      </c>
      <c r="E3" s="6" t="str">
        <f>Naklad_volani!$A$15</f>
        <v>Claude Sonnet 5 (std)</v>
      </c>
      <c r="F3" s="6" t="str">
        <f>Naklad_volani!$A$16</f>
        <v>Claude Sonnet 5 (zaváděcí do 2026-08-31)</v>
      </c>
      <c r="G3" s="6" t="str">
        <f>Naklad_volani!$A$17</f>
        <v>Claude Opus 5</v>
      </c>
      <c r="H3" s="6" t="str">
        <f>Naklad_volani!$A$18</f>
        <v>třída Flash-Lite (referenční konkurence)</v>
      </c>
      <c r="I3" s="6" t="s">
        <v>180</v>
      </c>
      <c r="J3" s="6" t="s">
        <v>89</v>
      </c>
    </row>
    <row r="4" spans="1:10" x14ac:dyDescent="0.2">
      <c r="A4" s="8">
        <v>2.2000000000000002</v>
      </c>
      <c r="B4" s="34">
        <f>ROUND((Predpoklady!$C$7+Predpoklady!$C$8+Predpoklady!$C$9)/$A4,0)</f>
        <v>1666</v>
      </c>
      <c r="C4" s="34">
        <f>ROUND(Predpoklady!$C$10/$A4,0)</f>
        <v>235</v>
      </c>
      <c r="D4" s="39">
        <f>$B4/1000000*Naklad_volani!$B$14+$C4/1000000*Naklad_volani!$C$14</f>
        <v>2.8409999999999998E-3</v>
      </c>
      <c r="E4" s="39">
        <f>$B4/1000000*Naklad_volani!$B$15+$C4/1000000*Naklad_volani!$C$15</f>
        <v>8.5229999999999993E-3</v>
      </c>
      <c r="F4" s="39">
        <f>$B4/1000000*Naklad_volani!$B$16+$C4/1000000*Naklad_volani!$C$16</f>
        <v>5.6819999999999996E-3</v>
      </c>
      <c r="G4" s="39">
        <f>$B4/1000000*Naklad_volani!$B$17+$C4/1000000*Naklad_volani!$C$17</f>
        <v>1.4205000000000001E-2</v>
      </c>
      <c r="H4" s="39">
        <f>$B4/1000000*Naklad_volani!$B$18+$C4/1000000*Naklad_volani!$C$18</f>
        <v>2.6060000000000005E-4</v>
      </c>
      <c r="I4" s="21">
        <f>D4/D$5-1</f>
        <v>0.13594562175129954</v>
      </c>
      <c r="J4" s="1" t="s">
        <v>181</v>
      </c>
    </row>
    <row r="5" spans="1:10" x14ac:dyDescent="0.2">
      <c r="A5" s="41">
        <f>Predpoklady!$C$6</f>
        <v>2.5</v>
      </c>
      <c r="B5" s="36">
        <f>ROUND((Predpoklady!$C$7+Predpoklady!$C$8+Predpoklady!$C$9)/$A5,0)</f>
        <v>1466</v>
      </c>
      <c r="C5" s="36">
        <f>ROUND(Predpoklady!$C$10/$A5,0)</f>
        <v>207</v>
      </c>
      <c r="D5" s="40">
        <f>$B5/1000000*Naklad_volani!$B$14+$C5/1000000*Naklad_volani!$C$14</f>
        <v>2.5009999999999998E-3</v>
      </c>
      <c r="E5" s="40">
        <f>$B5/1000000*Naklad_volani!$B$15+$C5/1000000*Naklad_volani!$C$15</f>
        <v>7.5029999999999993E-3</v>
      </c>
      <c r="F5" s="40">
        <f>$B5/1000000*Naklad_volani!$B$16+$C5/1000000*Naklad_volani!$C$16</f>
        <v>5.0019999999999995E-3</v>
      </c>
      <c r="G5" s="40">
        <f>$B5/1000000*Naklad_volani!$B$17+$C5/1000000*Naklad_volani!$C$17</f>
        <v>1.2505E-2</v>
      </c>
      <c r="H5" s="40">
        <f>$B5/1000000*Naklad_volani!$B$18+$C5/1000000*Naklad_volani!$C$18</f>
        <v>2.2940000000000002E-4</v>
      </c>
      <c r="I5" s="42">
        <f>D5/D$5-1</f>
        <v>0</v>
      </c>
      <c r="J5" s="2" t="s">
        <v>182</v>
      </c>
    </row>
    <row r="6" spans="1:10" x14ac:dyDescent="0.2">
      <c r="A6" s="8">
        <v>3</v>
      </c>
      <c r="B6" s="34">
        <f>ROUND((Predpoklady!$C$7+Predpoklady!$C$8+Predpoklady!$C$9)/$A6,0)</f>
        <v>1222</v>
      </c>
      <c r="C6" s="34">
        <f>ROUND(Predpoklady!$C$10/$A6,0)</f>
        <v>173</v>
      </c>
      <c r="D6" s="39">
        <f>$B6/1000000*Naklad_volani!$B$14+$C6/1000000*Naklad_volani!$C$14</f>
        <v>2.0869999999999999E-3</v>
      </c>
      <c r="E6" s="39">
        <f>$B6/1000000*Naklad_volani!$B$15+$C6/1000000*Naklad_volani!$C$15</f>
        <v>6.2610000000000001E-3</v>
      </c>
      <c r="F6" s="39">
        <f>$B6/1000000*Naklad_volani!$B$16+$C6/1000000*Naklad_volani!$C$16</f>
        <v>4.1739999999999998E-3</v>
      </c>
      <c r="G6" s="39">
        <f>$B6/1000000*Naklad_volani!$B$17+$C6/1000000*Naklad_volani!$C$17</f>
        <v>1.0435E-2</v>
      </c>
      <c r="H6" s="39">
        <f>$B6/1000000*Naklad_volani!$B$18+$C6/1000000*Naklad_volani!$C$18</f>
        <v>1.9140000000000002E-4</v>
      </c>
      <c r="I6" s="21">
        <f>D6/D$5-1</f>
        <v>-0.16553378648540584</v>
      </c>
      <c r="J6" s="1" t="s">
        <v>183</v>
      </c>
    </row>
    <row r="8" spans="1:10" x14ac:dyDescent="0.2">
      <c r="A8" s="5" t="s">
        <v>184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2194-E8E4-4161-9441-C8C8A76CC302}">
  <dimension ref="A1:E23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58.7109375" style="1" customWidth="1"/>
    <col min="2" max="5" width="15.7109375" style="1" customWidth="1"/>
    <col min="6" max="16384" width="9.140625" style="1"/>
  </cols>
  <sheetData>
    <row r="1" spans="1:5" ht="16.5" x14ac:dyDescent="0.25">
      <c r="A1" s="3" t="s">
        <v>185</v>
      </c>
    </row>
    <row r="2" spans="1:5" x14ac:dyDescent="0.2">
      <c r="A2" s="5" t="s">
        <v>186</v>
      </c>
    </row>
    <row r="3" spans="1:5" x14ac:dyDescent="0.2">
      <c r="A3" s="6" t="s">
        <v>99</v>
      </c>
      <c r="B3" s="6" t="s">
        <v>73</v>
      </c>
      <c r="C3" s="6" t="s">
        <v>74</v>
      </c>
      <c r="D3" s="6" t="s">
        <v>75</v>
      </c>
      <c r="E3" s="6" t="s">
        <v>76</v>
      </c>
    </row>
    <row r="4" spans="1:5" x14ac:dyDescent="0.2">
      <c r="A4" s="1" t="s">
        <v>77</v>
      </c>
      <c r="B4" s="43">
        <f>Predpoklady!B24</f>
        <v>4.5</v>
      </c>
      <c r="C4" s="43">
        <f>Predpoklady!C24</f>
        <v>4.83</v>
      </c>
      <c r="D4" s="43">
        <f>Predpoklady!D24</f>
        <v>5.03</v>
      </c>
      <c r="E4" s="43">
        <f>Predpoklady!E24</f>
        <v>5.07</v>
      </c>
    </row>
    <row r="5" spans="1:5" x14ac:dyDescent="0.2">
      <c r="A5" s="1" t="s">
        <v>78</v>
      </c>
      <c r="B5" s="43">
        <f>Predpoklady!B25</f>
        <v>1.1399999999999999</v>
      </c>
      <c r="C5" s="43">
        <f>Predpoklady!C25</f>
        <v>0.99</v>
      </c>
      <c r="D5" s="43">
        <f>Predpoklady!D25</f>
        <v>0.99</v>
      </c>
      <c r="E5" s="43">
        <f>Predpoklady!E25</f>
        <v>0.99</v>
      </c>
    </row>
    <row r="6" spans="1:5" x14ac:dyDescent="0.2">
      <c r="A6" s="1" t="s">
        <v>79</v>
      </c>
      <c r="B6" s="43">
        <f>Predpoklady!B26</f>
        <v>1</v>
      </c>
      <c r="C6" s="43">
        <f>Predpoklady!C26</f>
        <v>1.44</v>
      </c>
      <c r="D6" s="43">
        <f>Predpoklady!D26</f>
        <v>1.42</v>
      </c>
      <c r="E6" s="43">
        <f>Predpoklady!E26</f>
        <v>1.42</v>
      </c>
    </row>
    <row r="7" spans="1:5" x14ac:dyDescent="0.2">
      <c r="A7" s="1" t="s">
        <v>80</v>
      </c>
      <c r="B7" s="43">
        <f>Predpoklady!B27</f>
        <v>0.92</v>
      </c>
      <c r="C7" s="43">
        <f>Predpoklady!C27</f>
        <v>1.29</v>
      </c>
      <c r="D7" s="43">
        <f>Predpoklady!D27</f>
        <v>1.19</v>
      </c>
      <c r="E7" s="43">
        <f>Predpoklady!E27</f>
        <v>1.19</v>
      </c>
    </row>
    <row r="8" spans="1:5" x14ac:dyDescent="0.2">
      <c r="A8" s="2" t="s">
        <v>81</v>
      </c>
      <c r="B8" s="44">
        <f>Predpoklady!B28</f>
        <v>7.56</v>
      </c>
      <c r="C8" s="44">
        <f>Predpoklady!C28</f>
        <v>8.5399999999999991</v>
      </c>
      <c r="D8" s="44">
        <f>Predpoklady!D28</f>
        <v>8.6300000000000008</v>
      </c>
      <c r="E8" s="44">
        <f>Predpoklady!E28</f>
        <v>8.66</v>
      </c>
    </row>
    <row r="9" spans="1:5" x14ac:dyDescent="0.2">
      <c r="A9" s="1" t="s">
        <v>187</v>
      </c>
      <c r="B9" s="22">
        <f>B8*Predpoklady!$C$12</f>
        <v>0.22679999999999997</v>
      </c>
      <c r="C9" s="22">
        <f>C8*Predpoklady!$C$12</f>
        <v>0.25619999999999998</v>
      </c>
      <c r="D9" s="22">
        <f>D8*Predpoklady!$C$12</f>
        <v>0.25890000000000002</v>
      </c>
      <c r="E9" s="22">
        <f>E8*Predpoklady!$C$12</f>
        <v>0.25979999999999998</v>
      </c>
    </row>
    <row r="10" spans="1:5" x14ac:dyDescent="0.2">
      <c r="A10" s="2" t="s">
        <v>188</v>
      </c>
      <c r="B10" s="45">
        <f>B8*(1+Predpoklady!$C$12)</f>
        <v>7.7867999999999995</v>
      </c>
      <c r="C10" s="45">
        <f>C8*(1+Predpoklady!$C$12)</f>
        <v>8.7961999999999989</v>
      </c>
      <c r="D10" s="45">
        <f>D8*(1+Predpoklady!$C$12)</f>
        <v>8.8889000000000014</v>
      </c>
      <c r="E10" s="45">
        <f>E8*(1+Predpoklady!$C$12)</f>
        <v>8.9198000000000004</v>
      </c>
    </row>
    <row r="11" spans="1:5" x14ac:dyDescent="0.2">
      <c r="A11" s="2" t="s">
        <v>189</v>
      </c>
      <c r="B11" s="45">
        <f>SUM(B5:B7)*(1+Predpoklady!$C$12)</f>
        <v>3.1517999999999997</v>
      </c>
      <c r="C11" s="45">
        <f>SUM(C5:C7)*(1+Predpoklady!$C$12)</f>
        <v>3.8315999999999999</v>
      </c>
      <c r="D11" s="45">
        <f>SUM(D5:D7)*(1+Predpoklady!$C$12)</f>
        <v>3.7080000000000002</v>
      </c>
      <c r="E11" s="45">
        <f>SUM(E5:E7)*(1+Predpoklady!$C$12)</f>
        <v>3.7080000000000002</v>
      </c>
    </row>
    <row r="12" spans="1:5" x14ac:dyDescent="0.2">
      <c r="A12" s="1" t="s">
        <v>83</v>
      </c>
      <c r="B12" s="43">
        <f>Predpoklady!B30</f>
        <v>6.36</v>
      </c>
      <c r="C12" s="43">
        <f>Predpoklady!C30</f>
        <v>6.41</v>
      </c>
      <c r="D12" s="43">
        <f>Predpoklady!D30</f>
        <v>6.63</v>
      </c>
      <c r="E12" s="43">
        <f>Predpoklady!E30</f>
        <v>6.67</v>
      </c>
    </row>
    <row r="14" spans="1:5" x14ac:dyDescent="0.2">
      <c r="A14" s="2" t="s">
        <v>190</v>
      </c>
    </row>
    <row r="15" spans="1:5" x14ac:dyDescent="0.2">
      <c r="A15" s="6" t="s">
        <v>135</v>
      </c>
      <c r="B15" s="6" t="s">
        <v>73</v>
      </c>
      <c r="C15" s="6" t="s">
        <v>74</v>
      </c>
      <c r="D15" s="6" t="s">
        <v>75</v>
      </c>
      <c r="E15" s="6" t="s">
        <v>76</v>
      </c>
    </row>
    <row r="16" spans="1:5" x14ac:dyDescent="0.2">
      <c r="A16" s="37" t="str">
        <f>Naklad_volani!$A$14</f>
        <v>Claude Haiku 4.5</v>
      </c>
      <c r="B16" s="46">
        <f>B$10*Naklad_volani!$F$14</f>
        <v>1.9474786799999998E-2</v>
      </c>
      <c r="C16" s="46">
        <f>C$10*Naklad_volani!$F$14</f>
        <v>2.1999296199999994E-2</v>
      </c>
      <c r="D16" s="46">
        <f>D$10*Naklad_volani!$F$14</f>
        <v>2.2231138900000003E-2</v>
      </c>
      <c r="E16" s="46">
        <f>E$10*Naklad_volani!$F$14</f>
        <v>2.23084198E-2</v>
      </c>
    </row>
    <row r="17" spans="1:5" x14ac:dyDescent="0.2">
      <c r="A17" s="37" t="str">
        <f>Naklad_volani!$A$15</f>
        <v>Claude Sonnet 5 (std)</v>
      </c>
      <c r="B17" s="46">
        <f>B$10*Naklad_volani!$F$15</f>
        <v>5.8424360399999993E-2</v>
      </c>
      <c r="C17" s="46">
        <f>C$10*Naklad_volani!$F$15</f>
        <v>6.5997888599999985E-2</v>
      </c>
      <c r="D17" s="46">
        <f>D$10*Naklad_volani!$F$15</f>
        <v>6.6693416700000008E-2</v>
      </c>
      <c r="E17" s="46">
        <f>E$10*Naklad_volani!$F$15</f>
        <v>6.6925259399999992E-2</v>
      </c>
    </row>
    <row r="18" spans="1:5" x14ac:dyDescent="0.2">
      <c r="A18" s="37" t="str">
        <f>Naklad_volani!$A$16</f>
        <v>Claude Sonnet 5 (zaváděcí do 2026-08-31)</v>
      </c>
      <c r="B18" s="46">
        <f>B$10*Naklad_volani!$F$16</f>
        <v>3.8949573599999995E-2</v>
      </c>
      <c r="C18" s="46">
        <f>C$10*Naklad_volani!$F$16</f>
        <v>4.3998592399999988E-2</v>
      </c>
      <c r="D18" s="46">
        <f>D$10*Naklad_volani!$F$16</f>
        <v>4.4462277800000005E-2</v>
      </c>
      <c r="E18" s="46">
        <f>E$10*Naklad_volani!$F$16</f>
        <v>4.4616839599999999E-2</v>
      </c>
    </row>
    <row r="19" spans="1:5" x14ac:dyDescent="0.2">
      <c r="A19" s="37" t="str">
        <f>Naklad_volani!$A$17</f>
        <v>Claude Opus 5</v>
      </c>
      <c r="B19" s="46">
        <f>B$10*Naklad_volani!$F$17</f>
        <v>9.7373933999999995E-2</v>
      </c>
      <c r="C19" s="46">
        <f>C$10*Naklad_volani!$F$17</f>
        <v>0.10999648099999999</v>
      </c>
      <c r="D19" s="46">
        <f>D$10*Naklad_volani!$F$17</f>
        <v>0.11115569450000003</v>
      </c>
      <c r="E19" s="46">
        <f>E$10*Naklad_volani!$F$17</f>
        <v>0.11154209900000001</v>
      </c>
    </row>
    <row r="20" spans="1:5" x14ac:dyDescent="0.2">
      <c r="A20" s="37" t="str">
        <f>Naklad_volani!$A$18</f>
        <v>třída Flash-Lite (referenční konkurence)</v>
      </c>
      <c r="B20" s="46">
        <f>B$10*Naklad_volani!$F$18</f>
        <v>1.78629192E-3</v>
      </c>
      <c r="C20" s="46">
        <f>C$10*Naklad_volani!$F$18</f>
        <v>2.0178482799999998E-3</v>
      </c>
      <c r="D20" s="46">
        <f>D$10*Naklad_volani!$F$18</f>
        <v>2.0391136600000003E-3</v>
      </c>
      <c r="E20" s="46">
        <f>E$10*Naklad_volani!$F$18</f>
        <v>2.0462021200000004E-3</v>
      </c>
    </row>
    <row r="22" spans="1:5" x14ac:dyDescent="0.2">
      <c r="A22" s="5" t="s">
        <v>191</v>
      </c>
    </row>
    <row r="23" spans="1:5" x14ac:dyDescent="0.2">
      <c r="A23" s="5" t="s">
        <v>192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6824-9EE8-46EA-9A3E-5F8FCC30CD97}">
  <dimension ref="A1:G23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5.7109375" style="1" customWidth="1"/>
    <col min="2" max="3" width="19.7109375" style="1" customWidth="1"/>
    <col min="4" max="5" width="21.7109375" style="1" customWidth="1"/>
    <col min="6" max="6" width="22.7109375" style="1" customWidth="1"/>
    <col min="7" max="7" width="24.7109375" style="1" customWidth="1"/>
    <col min="8" max="16384" width="9.140625" style="1"/>
  </cols>
  <sheetData>
    <row r="1" spans="1:7" ht="16.5" x14ac:dyDescent="0.25">
      <c r="A1" s="3" t="s">
        <v>193</v>
      </c>
    </row>
    <row r="2" spans="1:7" x14ac:dyDescent="0.2">
      <c r="A2" s="5" t="s">
        <v>194</v>
      </c>
    </row>
    <row r="3" spans="1:7" ht="51" x14ac:dyDescent="0.2">
      <c r="A3" s="6" t="s">
        <v>195</v>
      </c>
      <c r="B3" s="6" t="s">
        <v>196</v>
      </c>
      <c r="C3" s="6" t="s">
        <v>197</v>
      </c>
      <c r="D3" s="6" t="s">
        <v>198</v>
      </c>
      <c r="E3" s="6" t="s">
        <v>199</v>
      </c>
      <c r="F3" s="6" t="s">
        <v>200</v>
      </c>
      <c r="G3" s="6" t="s">
        <v>201</v>
      </c>
    </row>
    <row r="4" spans="1:7" x14ac:dyDescent="0.2">
      <c r="A4" s="47">
        <v>0</v>
      </c>
      <c r="B4" s="49">
        <f>Naklad_run!$B$10*(1-$A4)*Naklad_volani!$F$14</f>
        <v>1.9474786799999998E-2</v>
      </c>
      <c r="C4" s="50">
        <f>B4/Predpoklady!$C$15</f>
        <v>1.8032209999999996E-2</v>
      </c>
      <c r="D4" s="49">
        <f>Naklad_run!$B$10*(1-$A4)*Naklad_volani!$F$15</f>
        <v>5.8424360399999993E-2</v>
      </c>
      <c r="E4" s="50">
        <f>D4/Predpoklady!$C$15</f>
        <v>5.4096629999999993E-2</v>
      </c>
      <c r="F4" s="34">
        <f>IFERROR(Predpoklady!$C$50/B4,"—")</f>
        <v>320.50086167891834</v>
      </c>
      <c r="G4" s="34">
        <f>IFERROR(Predpoklady!$C$50/D4,"—")</f>
        <v>106.83362055963944</v>
      </c>
    </row>
    <row r="5" spans="1:7" x14ac:dyDescent="0.2">
      <c r="A5" s="48">
        <f>A4+0.05</f>
        <v>0.05</v>
      </c>
      <c r="B5" s="49">
        <f>Naklad_run!$B$10*(1-$A5)*Naklad_volani!$F$14</f>
        <v>1.8501047459999996E-2</v>
      </c>
      <c r="C5" s="50">
        <f>B5/Predpoklady!$C$15</f>
        <v>1.7130599499999996E-2</v>
      </c>
      <c r="D5" s="49">
        <f>Naklad_run!$B$10*(1-$A5)*Naklad_volani!$F$15</f>
        <v>5.5503142379999988E-2</v>
      </c>
      <c r="E5" s="50">
        <f>D5/Predpoklady!$C$15</f>
        <v>5.1391798499999988E-2</v>
      </c>
      <c r="F5" s="34">
        <f>IFERROR(Predpoklady!$C$50/B5,"—")</f>
        <v>337.36932808307199</v>
      </c>
      <c r="G5" s="34">
        <f>IFERROR(Predpoklady!$C$50/D5,"—")</f>
        <v>112.45644269435732</v>
      </c>
    </row>
    <row r="6" spans="1:7" x14ac:dyDescent="0.2">
      <c r="A6" s="48">
        <f>A5+0.05</f>
        <v>0.1</v>
      </c>
      <c r="B6" s="49">
        <f>Naklad_run!$B$10*(1-$A6)*Naklad_volani!$F$14</f>
        <v>1.7527308119999998E-2</v>
      </c>
      <c r="C6" s="50">
        <f>B6/Predpoklady!$C$15</f>
        <v>1.6228988999999996E-2</v>
      </c>
      <c r="D6" s="49">
        <f>Naklad_run!$B$10*(1-$A6)*Naklad_volani!$F$15</f>
        <v>5.2581924359999997E-2</v>
      </c>
      <c r="E6" s="50">
        <f>D6/Predpoklady!$C$15</f>
        <v>4.8686966999999998E-2</v>
      </c>
      <c r="F6" s="34">
        <f>IFERROR(Predpoklady!$C$50/B6,"—")</f>
        <v>356.1120685321315</v>
      </c>
      <c r="G6" s="34">
        <f>IFERROR(Predpoklady!$C$50/D6,"—")</f>
        <v>118.70402284404382</v>
      </c>
    </row>
    <row r="7" spans="1:7" x14ac:dyDescent="0.2">
      <c r="A7" s="48">
        <f>A6+0.05</f>
        <v>0.15000000000000002</v>
      </c>
      <c r="B7" s="49">
        <f>Naklad_run!$B$10*(1-$A7)*Naklad_volani!$F$14</f>
        <v>1.6553568779999996E-2</v>
      </c>
      <c r="C7" s="50">
        <f>B7/Predpoklady!$C$15</f>
        <v>1.5327378499999995E-2</v>
      </c>
      <c r="D7" s="49">
        <f>Naklad_run!$B$10*(1-$A7)*Naklad_volani!$F$15</f>
        <v>4.9660706339999992E-2</v>
      </c>
      <c r="E7" s="50">
        <f>D7/Predpoklady!$C$15</f>
        <v>4.5982135499999993E-2</v>
      </c>
      <c r="F7" s="34">
        <f>IFERROR(Predpoklady!$C$50/B7,"—")</f>
        <v>377.05983726931572</v>
      </c>
      <c r="G7" s="34">
        <f>IFERROR(Predpoklady!$C$50/D7,"—")</f>
        <v>125.68661242310523</v>
      </c>
    </row>
    <row r="8" spans="1:7" x14ac:dyDescent="0.2">
      <c r="A8" s="48">
        <f>A7+0.05</f>
        <v>0.2</v>
      </c>
      <c r="B8" s="49">
        <f>Naklad_run!$B$10*(1-$A8)*Naklad_volani!$F$14</f>
        <v>1.557982944E-2</v>
      </c>
      <c r="C8" s="50">
        <f>B8/Predpoklady!$C$15</f>
        <v>1.4425767999999999E-2</v>
      </c>
      <c r="D8" s="49">
        <f>Naklad_run!$B$10*(1-$A8)*Naklad_volani!$F$15</f>
        <v>4.6739488319999994E-2</v>
      </c>
      <c r="E8" s="50">
        <f>D8/Predpoklady!$C$15</f>
        <v>4.3277303999999989E-2</v>
      </c>
      <c r="F8" s="34">
        <f>IFERROR(Predpoklady!$C$50/B8,"—")</f>
        <v>400.6260770986479</v>
      </c>
      <c r="G8" s="34">
        <f>IFERROR(Predpoklady!$C$50/D8,"—")</f>
        <v>133.5420256995493</v>
      </c>
    </row>
    <row r="9" spans="1:7" x14ac:dyDescent="0.2">
      <c r="A9" s="48">
        <f>A8+0.05</f>
        <v>0.25</v>
      </c>
      <c r="B9" s="49">
        <f>Naklad_run!$B$10*(1-$A9)*Naklad_volani!$F$14</f>
        <v>1.4606090099999998E-2</v>
      </c>
      <c r="C9" s="50">
        <f>B9/Predpoklady!$C$15</f>
        <v>1.3524157499999998E-2</v>
      </c>
      <c r="D9" s="49">
        <f>Naklad_run!$B$10*(1-$A9)*Naklad_volani!$F$15</f>
        <v>4.381827029999999E-2</v>
      </c>
      <c r="E9" s="50">
        <f>D9/Predpoklady!$C$15</f>
        <v>4.0572472499999991E-2</v>
      </c>
      <c r="F9" s="34">
        <f>IFERROR(Predpoklady!$C$50/B9,"—")</f>
        <v>427.33448223855777</v>
      </c>
      <c r="G9" s="34">
        <f>IFERROR(Predpoklady!$C$50/D9,"—")</f>
        <v>142.44482741285262</v>
      </c>
    </row>
    <row r="10" spans="1:7" x14ac:dyDescent="0.2">
      <c r="A10" s="48">
        <f>A9+0.05</f>
        <v>0.3</v>
      </c>
      <c r="B10" s="49">
        <f>Naklad_run!$B$10*(1-$A10)*Naklad_volani!$F$14</f>
        <v>1.3632350759999997E-2</v>
      </c>
      <c r="C10" s="50">
        <f>B10/Predpoklady!$C$15</f>
        <v>1.2622546999999996E-2</v>
      </c>
      <c r="D10" s="49">
        <f>Naklad_run!$B$10*(1-$A10)*Naklad_volani!$F$15</f>
        <v>4.0897052279999985E-2</v>
      </c>
      <c r="E10" s="50">
        <f>D10/Predpoklady!$C$15</f>
        <v>3.7867640999999987E-2</v>
      </c>
      <c r="F10" s="34">
        <f>IFERROR(Predpoklady!$C$50/B10,"—")</f>
        <v>457.85837382702624</v>
      </c>
      <c r="G10" s="34">
        <f>IFERROR(Predpoklady!$C$50/D10,"—")</f>
        <v>152.61945794234211</v>
      </c>
    </row>
    <row r="11" spans="1:7" x14ac:dyDescent="0.2">
      <c r="A11" s="48">
        <f>A10+0.05</f>
        <v>0.35</v>
      </c>
      <c r="B11" s="49">
        <f>Naklad_run!$B$10*(1-$A11)*Naklad_volani!$F$14</f>
        <v>1.2658611419999998E-2</v>
      </c>
      <c r="C11" s="50">
        <f>B11/Predpoklady!$C$15</f>
        <v>1.1720936499999998E-2</v>
      </c>
      <c r="D11" s="49">
        <f>Naklad_run!$B$10*(1-$A11)*Naklad_volani!$F$15</f>
        <v>3.7975834259999994E-2</v>
      </c>
      <c r="E11" s="50">
        <f>D11/Predpoklady!$C$15</f>
        <v>3.5162809499999989E-2</v>
      </c>
      <c r="F11" s="34">
        <f>IFERROR(Predpoklady!$C$50/B11,"—")</f>
        <v>493.07824873679743</v>
      </c>
      <c r="G11" s="34">
        <f>IFERROR(Predpoklady!$C$50/D11,"—")</f>
        <v>164.35941624559916</v>
      </c>
    </row>
    <row r="12" spans="1:7" x14ac:dyDescent="0.2">
      <c r="A12" s="48">
        <f>A11+0.05</f>
        <v>0.39999999999999997</v>
      </c>
      <c r="B12" s="49">
        <f>Naklad_run!$B$10*(1-$A12)*Naklad_volani!$F$14</f>
        <v>1.1684872079999999E-2</v>
      </c>
      <c r="C12" s="50">
        <f>B12/Predpoklady!$C$15</f>
        <v>1.0819325999999997E-2</v>
      </c>
      <c r="D12" s="49">
        <f>Naklad_run!$B$10*(1-$A12)*Naklad_volani!$F$15</f>
        <v>3.5054616239999996E-2</v>
      </c>
      <c r="E12" s="50">
        <f>D12/Predpoklady!$C$15</f>
        <v>3.2457977999999992E-2</v>
      </c>
      <c r="F12" s="34">
        <f>IFERROR(Predpoklady!$C$50/B12,"—")</f>
        <v>534.1681027981972</v>
      </c>
      <c r="G12" s="34">
        <f>IFERROR(Predpoklady!$C$50/D12,"—")</f>
        <v>178.05603426606575</v>
      </c>
    </row>
    <row r="13" spans="1:7" x14ac:dyDescent="0.2">
      <c r="A13" s="48">
        <f>A12+0.05</f>
        <v>0.44999999999999996</v>
      </c>
      <c r="B13" s="49">
        <f>Naklad_run!$B$10*(1-$A13)*Naklad_volani!$F$14</f>
        <v>1.071113274E-2</v>
      </c>
      <c r="C13" s="50">
        <f>B13/Predpoklady!$C$15</f>
        <v>9.9177155000000003E-3</v>
      </c>
      <c r="D13" s="49">
        <f>Naklad_run!$B$10*(1-$A13)*Naklad_volani!$F$15</f>
        <v>3.2133398219999998E-2</v>
      </c>
      <c r="E13" s="50">
        <f>D13/Predpoklady!$C$15</f>
        <v>2.9753146499999997E-2</v>
      </c>
      <c r="F13" s="34">
        <f>IFERROR(Predpoklady!$C$50/B13,"—")</f>
        <v>582.72883941621512</v>
      </c>
      <c r="G13" s="34">
        <f>IFERROR(Predpoklady!$C$50/D13,"—")</f>
        <v>194.24294647207171</v>
      </c>
    </row>
    <row r="14" spans="1:7" x14ac:dyDescent="0.2">
      <c r="A14" s="48">
        <f>A13+0.05</f>
        <v>0.49999999999999994</v>
      </c>
      <c r="B14" s="49">
        <f>Naklad_run!$B$10*(1-$A14)*Naklad_volani!$F$14</f>
        <v>9.7373933999999988E-3</v>
      </c>
      <c r="C14" s="50">
        <f>B14/Predpoklady!$C$15</f>
        <v>9.0161049999999982E-3</v>
      </c>
      <c r="D14" s="49">
        <f>Naklad_run!$B$10*(1-$A14)*Naklad_volani!$F$15</f>
        <v>2.9212180199999997E-2</v>
      </c>
      <c r="E14" s="50">
        <f>D14/Predpoklady!$C$15</f>
        <v>2.7048314999999996E-2</v>
      </c>
      <c r="F14" s="34">
        <f>IFERROR(Predpoklady!$C$50/B14,"—")</f>
        <v>641.00172335783668</v>
      </c>
      <c r="G14" s="34">
        <f>IFERROR(Predpoklady!$C$50/D14,"—")</f>
        <v>213.66724111927888</v>
      </c>
    </row>
    <row r="15" spans="1:7" x14ac:dyDescent="0.2">
      <c r="A15" s="48">
        <f>A14+0.05</f>
        <v>0.54999999999999993</v>
      </c>
      <c r="B15" s="49">
        <f>Naklad_run!$B$10*(1-$A15)*Naklad_volani!$F$14</f>
        <v>8.7636540600000007E-3</v>
      </c>
      <c r="C15" s="50">
        <f>B15/Predpoklady!$C$15</f>
        <v>8.1144944999999996E-3</v>
      </c>
      <c r="D15" s="49">
        <f>Naklad_run!$B$10*(1-$A15)*Naklad_volani!$F$15</f>
        <v>2.6290962180000002E-2</v>
      </c>
      <c r="E15" s="50">
        <f>D15/Predpoklady!$C$15</f>
        <v>2.4343483499999999E-2</v>
      </c>
      <c r="F15" s="34">
        <f>IFERROR(Predpoklady!$C$50/B15,"—")</f>
        <v>712.22413706426289</v>
      </c>
      <c r="G15" s="34">
        <f>IFERROR(Predpoklady!$C$50/D15,"—")</f>
        <v>237.40804568808761</v>
      </c>
    </row>
    <row r="16" spans="1:7" x14ac:dyDescent="0.2">
      <c r="A16" s="51">
        <f>A15+0.05</f>
        <v>0.6</v>
      </c>
      <c r="B16" s="52">
        <f>Naklad_run!$B$10*(1-$A16)*Naklad_volani!$F$14</f>
        <v>7.7899147199999999E-3</v>
      </c>
      <c r="C16" s="53">
        <f>B16/Predpoklady!$C$15</f>
        <v>7.2128839999999993E-3</v>
      </c>
      <c r="D16" s="52">
        <f>Naklad_run!$B$10*(1-$A16)*Naklad_volani!$F$15</f>
        <v>2.3369744159999997E-2</v>
      </c>
      <c r="E16" s="53">
        <f>D16/Predpoklady!$C$15</f>
        <v>2.1638651999999994E-2</v>
      </c>
      <c r="F16" s="36">
        <f>IFERROR(Predpoklady!$C$50/B16,"—")</f>
        <v>801.25215419729579</v>
      </c>
      <c r="G16" s="36">
        <f>IFERROR(Predpoklady!$C$50/D16,"—")</f>
        <v>267.0840513990986</v>
      </c>
    </row>
    <row r="17" spans="1:7" x14ac:dyDescent="0.2">
      <c r="A17" s="48">
        <f>A16+0.05</f>
        <v>0.65</v>
      </c>
      <c r="B17" s="49">
        <f>Naklad_run!$B$10*(1-$A17)*Naklad_volani!$F$14</f>
        <v>6.8161753799999983E-3</v>
      </c>
      <c r="C17" s="50">
        <f>B17/Predpoklady!$C$15</f>
        <v>6.3112734999999981E-3</v>
      </c>
      <c r="D17" s="49">
        <f>Naklad_run!$B$10*(1-$A17)*Naklad_volani!$F$15</f>
        <v>2.0448526139999992E-2</v>
      </c>
      <c r="E17" s="50">
        <f>D17/Predpoklady!$C$15</f>
        <v>1.8933820499999993E-2</v>
      </c>
      <c r="F17" s="34">
        <f>IFERROR(Predpoklady!$C$50/B17,"—")</f>
        <v>915.71674765405248</v>
      </c>
      <c r="G17" s="34">
        <f>IFERROR(Predpoklady!$C$50/D17,"—")</f>
        <v>305.23891588468422</v>
      </c>
    </row>
    <row r="18" spans="1:7" x14ac:dyDescent="0.2">
      <c r="A18" s="48">
        <f>A17+0.05</f>
        <v>0.70000000000000007</v>
      </c>
      <c r="B18" s="49">
        <f>Naklad_run!$B$10*(1-$A18)*Naklad_volani!$F$14</f>
        <v>5.8424360399999976E-3</v>
      </c>
      <c r="C18" s="50">
        <f>B18/Predpoklady!$C$15</f>
        <v>5.4096629999999977E-3</v>
      </c>
      <c r="D18" s="49">
        <f>Naklad_run!$B$10*(1-$A18)*Naklad_volani!$F$15</f>
        <v>1.7527308119999991E-2</v>
      </c>
      <c r="E18" s="50">
        <f>D18/Predpoklady!$C$15</f>
        <v>1.6228988999999992E-2</v>
      </c>
      <c r="F18" s="34">
        <f>IFERROR(Predpoklady!$C$50/B18,"—")</f>
        <v>1068.3362055963948</v>
      </c>
      <c r="G18" s="34">
        <f>IFERROR(Predpoklady!$C$50/D18,"—")</f>
        <v>356.11206853213162</v>
      </c>
    </row>
    <row r="19" spans="1:7" x14ac:dyDescent="0.2">
      <c r="A19" s="48">
        <f>A18+0.05</f>
        <v>0.75000000000000011</v>
      </c>
      <c r="B19" s="49">
        <f>Naklad_run!$B$10*(1-$A19)*Naklad_volani!$F$14</f>
        <v>4.8686966999999968E-3</v>
      </c>
      <c r="C19" s="50">
        <f>B19/Predpoklady!$C$15</f>
        <v>4.5080524999999965E-3</v>
      </c>
      <c r="D19" s="49">
        <f>Naklad_run!$B$10*(1-$A19)*Naklad_volani!$F$15</f>
        <v>1.4606090099999991E-2</v>
      </c>
      <c r="E19" s="50">
        <f>D19/Predpoklady!$C$15</f>
        <v>1.3524157499999991E-2</v>
      </c>
      <c r="F19" s="34">
        <f>IFERROR(Predpoklady!$C$50/B19,"—")</f>
        <v>1282.003446715674</v>
      </c>
      <c r="G19" s="34">
        <f>IFERROR(Predpoklady!$C$50/D19,"—")</f>
        <v>427.334482238558</v>
      </c>
    </row>
    <row r="20" spans="1:7" x14ac:dyDescent="0.2">
      <c r="A20" s="48">
        <f>A19+0.05</f>
        <v>0.80000000000000016</v>
      </c>
      <c r="B20" s="49">
        <f>Naklad_run!$B$10*(1-$A20)*Naklad_volani!$F$14</f>
        <v>3.8949573599999965E-3</v>
      </c>
      <c r="C20" s="50">
        <f>B20/Predpoklady!$C$15</f>
        <v>3.6064419999999966E-3</v>
      </c>
      <c r="D20" s="49">
        <f>Naklad_run!$B$10*(1-$A20)*Naklad_volani!$F$15</f>
        <v>1.168487207999999E-2</v>
      </c>
      <c r="E20" s="50">
        <f>D20/Predpoklady!$C$15</f>
        <v>1.081932599999999E-2</v>
      </c>
      <c r="F20" s="34">
        <f>IFERROR(Predpoklady!$C$50/B20,"—")</f>
        <v>1602.504308394593</v>
      </c>
      <c r="G20" s="34">
        <f>IFERROR(Predpoklady!$C$50/D20,"—")</f>
        <v>534.16810279819765</v>
      </c>
    </row>
    <row r="21" spans="1:7" x14ac:dyDescent="0.2">
      <c r="A21" s="48">
        <f>A20+0.05</f>
        <v>0.8500000000000002</v>
      </c>
      <c r="B21" s="49">
        <f>Naklad_run!$B$10*(1-$A21)*Naklad_volani!$F$14</f>
        <v>2.9212180199999953E-3</v>
      </c>
      <c r="C21" s="50">
        <f>B21/Predpoklady!$C$15</f>
        <v>2.7048314999999954E-3</v>
      </c>
      <c r="D21" s="49">
        <f>Naklad_run!$B$10*(1-$A21)*Naklad_volani!$F$15</f>
        <v>8.7636540599999868E-3</v>
      </c>
      <c r="E21" s="50">
        <f>D21/Predpoklady!$C$15</f>
        <v>8.1144944999999875E-3</v>
      </c>
      <c r="F21" s="34">
        <f>IFERROR(Predpoklady!$C$50/B21,"—")</f>
        <v>2136.672411192792</v>
      </c>
      <c r="G21" s="34">
        <f>IFERROR(Predpoklady!$C$50/D21,"—")</f>
        <v>712.22413706426403</v>
      </c>
    </row>
    <row r="22" spans="1:7" x14ac:dyDescent="0.2">
      <c r="A22" s="48">
        <f>A21+0.05</f>
        <v>0.90000000000000024</v>
      </c>
      <c r="B22" s="49">
        <f>Naklad_run!$B$10*(1-$A22)*Naklad_volani!$F$14</f>
        <v>1.947478679999995E-3</v>
      </c>
      <c r="C22" s="50">
        <f>B22/Predpoklady!$C$15</f>
        <v>1.8032209999999953E-3</v>
      </c>
      <c r="D22" s="49">
        <f>Naklad_run!$B$10*(1-$A22)*Naklad_volani!$F$15</f>
        <v>5.8424360399999846E-3</v>
      </c>
      <c r="E22" s="50">
        <f>D22/Predpoklady!$C$15</f>
        <v>5.4096629999999856E-3</v>
      </c>
      <c r="F22" s="34">
        <f>IFERROR(Predpoklady!$C$50/B22,"—")</f>
        <v>3205.0086167891914</v>
      </c>
      <c r="G22" s="34">
        <f>IFERROR(Predpoklady!$C$50/D22,"—")</f>
        <v>1068.3362055963971</v>
      </c>
    </row>
    <row r="23" spans="1:7" x14ac:dyDescent="0.2">
      <c r="A23" s="48">
        <f>A22+0.05</f>
        <v>0.95000000000000029</v>
      </c>
      <c r="B23" s="49">
        <f>Naklad_run!$B$10*(1-$A23)*Naklad_volani!$F$14</f>
        <v>9.7373933999999425E-4</v>
      </c>
      <c r="C23" s="50">
        <f>B23/Predpoklady!$C$15</f>
        <v>9.016104999999946E-4</v>
      </c>
      <c r="D23" s="49">
        <f>Naklad_run!$B$10*(1-$A23)*Naklad_volani!$F$15</f>
        <v>2.9212180199999827E-3</v>
      </c>
      <c r="E23" s="50">
        <f>D23/Predpoklady!$C$15</f>
        <v>2.7048314999999837E-3</v>
      </c>
      <c r="F23" s="34">
        <f>IFERROR(Predpoklady!$C$50/B23,"—")</f>
        <v>6410.0172335784036</v>
      </c>
      <c r="G23" s="34">
        <f>IFERROR(Predpoklady!$C$50/D23,"—")</f>
        <v>2136.6724111928015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6CB7-F2F7-4CCA-92B6-3CAEB46EF5F9}">
  <dimension ref="A1:F13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40.7109375" style="1" customWidth="1"/>
    <col min="2" max="2" width="20.7109375" style="1" customWidth="1"/>
    <col min="3" max="4" width="17.7109375" style="1" customWidth="1"/>
    <col min="5" max="5" width="19.7109375" style="1" customWidth="1"/>
    <col min="6" max="6" width="15.7109375" style="1" customWidth="1"/>
    <col min="7" max="16384" width="9.140625" style="1"/>
  </cols>
  <sheetData>
    <row r="1" spans="1:6" ht="16.5" x14ac:dyDescent="0.25">
      <c r="A1" s="3" t="s">
        <v>202</v>
      </c>
    </row>
    <row r="2" spans="1:6" x14ac:dyDescent="0.2">
      <c r="A2" s="5" t="s">
        <v>203</v>
      </c>
    </row>
    <row r="4" spans="1:6" ht="51" x14ac:dyDescent="0.2">
      <c r="A4" s="6" t="s">
        <v>204</v>
      </c>
      <c r="B4" s="6" t="s">
        <v>205</v>
      </c>
      <c r="C4" s="6" t="s">
        <v>121</v>
      </c>
      <c r="D4" s="6" t="s">
        <v>206</v>
      </c>
      <c r="E4" s="6" t="s">
        <v>207</v>
      </c>
      <c r="F4" s="6" t="s">
        <v>208</v>
      </c>
    </row>
    <row r="5" spans="1:6" x14ac:dyDescent="0.2">
      <c r="A5" s="1" t="s">
        <v>209</v>
      </c>
      <c r="B5" s="43">
        <f>Naklad_run!$B$10</f>
        <v>7.7867999999999995</v>
      </c>
      <c r="C5" s="54">
        <f>Naklad_volani!$F$17</f>
        <v>1.2505E-2</v>
      </c>
      <c r="D5" s="46">
        <f>B5*C5</f>
        <v>9.7373933999999995E-2</v>
      </c>
      <c r="E5" s="56">
        <f>IFERROR(Predpoklady!$C$50/D5,"nekonečno")</f>
        <v>64.100172335783668</v>
      </c>
      <c r="F5" s="34">
        <f>IFERROR(E5*Predpoklady!$C$56/60,"—")</f>
        <v>40.062607709864793</v>
      </c>
    </row>
    <row r="6" spans="1:6" x14ac:dyDescent="0.2">
      <c r="A6" s="2" t="s">
        <v>210</v>
      </c>
      <c r="B6" s="44">
        <f>Naklad_run!$B$10</f>
        <v>7.7867999999999995</v>
      </c>
      <c r="C6" s="57">
        <f>Naklad_volani!$F$15</f>
        <v>7.5029999999999993E-3</v>
      </c>
      <c r="D6" s="58">
        <f>B6*C6</f>
        <v>5.8424360399999993E-2</v>
      </c>
      <c r="E6" s="59">
        <f>IFERROR(Predpoklady!$C$50/D6,"nekonečno")</f>
        <v>106.83362055963944</v>
      </c>
      <c r="F6" s="36">
        <f>IFERROR(E6*Predpoklady!$C$56/60,"—")</f>
        <v>66.77101284977465</v>
      </c>
    </row>
    <row r="7" spans="1:6" x14ac:dyDescent="0.2">
      <c r="A7" s="1" t="s">
        <v>211</v>
      </c>
      <c r="B7" s="43">
        <f>Naklad_run!$B$10</f>
        <v>7.7867999999999995</v>
      </c>
      <c r="C7" s="54">
        <f>Predpoklady!$C$54</f>
        <v>4.9500000000000004E-3</v>
      </c>
      <c r="D7" s="46">
        <f>B7*C7</f>
        <v>3.8544660000000001E-2</v>
      </c>
      <c r="E7" s="56">
        <f>IFERROR(Predpoklady!$C$50/D7,"nekonečno")</f>
        <v>161.93386970888378</v>
      </c>
      <c r="F7" s="34">
        <f>IFERROR(E7*Predpoklady!$C$56/60,"—")</f>
        <v>101.20866856805236</v>
      </c>
    </row>
    <row r="8" spans="1:6" x14ac:dyDescent="0.2">
      <c r="A8" s="2" t="s">
        <v>212</v>
      </c>
      <c r="B8" s="44">
        <f>Naklad_run!$B$10</f>
        <v>7.7867999999999995</v>
      </c>
      <c r="C8" s="57">
        <f>Naklad_volani!$F$14</f>
        <v>2.5009999999999998E-3</v>
      </c>
      <c r="D8" s="58">
        <f>B8*C8</f>
        <v>1.9474786799999998E-2</v>
      </c>
      <c r="E8" s="59">
        <f>IFERROR(Predpoklady!$C$50/D8,"nekonečno")</f>
        <v>320.50086167891834</v>
      </c>
      <c r="F8" s="36">
        <f>IFERROR(E8*Predpoklady!$C$56/60,"—")</f>
        <v>200.31303854932398</v>
      </c>
    </row>
    <row r="9" spans="1:6" x14ac:dyDescent="0.2">
      <c r="A9" s="1" t="s">
        <v>213</v>
      </c>
      <c r="B9" s="43">
        <f>Naklad_run!$B$11</f>
        <v>3.1517999999999997</v>
      </c>
      <c r="C9" s="54">
        <f>Naklad_volani!$F$14</f>
        <v>2.5009999999999998E-3</v>
      </c>
      <c r="D9" s="46">
        <f>B9*C9</f>
        <v>7.8826517999999977E-3</v>
      </c>
      <c r="E9" s="56">
        <f>IFERROR(Predpoklady!$C$50/D9,"nekonečno")</f>
        <v>791.82565826556311</v>
      </c>
      <c r="F9" s="34">
        <f>IFERROR(E9*Predpoklady!$C$56/60,"—")</f>
        <v>494.891036415977</v>
      </c>
    </row>
    <row r="10" spans="1:6" x14ac:dyDescent="0.2">
      <c r="A10" s="1" t="s">
        <v>214</v>
      </c>
      <c r="B10" s="43">
        <f>Naklad_run!$B$10</f>
        <v>7.7867999999999995</v>
      </c>
      <c r="C10" s="54">
        <f>Naklad_volani!$F$18</f>
        <v>2.2940000000000002E-4</v>
      </c>
      <c r="D10" s="46">
        <f>B10*C10</f>
        <v>1.78629192E-3</v>
      </c>
      <c r="E10" s="56">
        <f>IFERROR(Predpoklady!$C$50/D10,"nekonečno")</f>
        <v>3494.2138407104389</v>
      </c>
      <c r="F10" s="34">
        <f>IFERROR(E10*Predpoklady!$C$56/60,"—")</f>
        <v>2183.8836504440242</v>
      </c>
    </row>
    <row r="11" spans="1:6" x14ac:dyDescent="0.2">
      <c r="A11" s="1" t="s">
        <v>215</v>
      </c>
      <c r="B11" s="11">
        <v>0</v>
      </c>
      <c r="C11" s="55">
        <v>0</v>
      </c>
      <c r="D11" s="46">
        <f>B11*C11</f>
        <v>0</v>
      </c>
      <c r="E11" s="56" t="str">
        <f>IFERROR(Predpoklady!$C$50/D11,"nekonečno")</f>
        <v>nekonečno</v>
      </c>
      <c r="F11" s="34" t="str">
        <f>IFERROR(E11*Predpoklady!$C$56/60,"—")</f>
        <v>—</v>
      </c>
    </row>
    <row r="13" spans="1:6" x14ac:dyDescent="0.2">
      <c r="A13" s="5" t="s">
        <v>216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FA5-61B0-418F-B3AA-88A741DA3E8E}">
  <dimension ref="A1:J10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20.7109375" style="1" customWidth="1"/>
    <col min="2" max="2" width="10.7109375" style="1" customWidth="1"/>
    <col min="3" max="3" width="21.7109375" style="1" customWidth="1"/>
    <col min="4" max="4" width="17.7109375" style="1" customWidth="1"/>
    <col min="5" max="5" width="21.7109375" style="1" customWidth="1"/>
    <col min="6" max="6" width="17.7109375" style="1" customWidth="1"/>
    <col min="7" max="7" width="22.7109375" style="1" customWidth="1"/>
    <col min="8" max="8" width="17.7109375" style="1" customWidth="1"/>
    <col min="9" max="9" width="22.7109375" style="1" customWidth="1"/>
    <col min="10" max="10" width="17.7109375" style="1" customWidth="1"/>
    <col min="11" max="16384" width="9.140625" style="1"/>
  </cols>
  <sheetData>
    <row r="1" spans="1:10" ht="16.5" x14ac:dyDescent="0.25">
      <c r="A1" s="3" t="s">
        <v>217</v>
      </c>
    </row>
    <row r="2" spans="1:10" x14ac:dyDescent="0.2">
      <c r="A2" s="5" t="s">
        <v>218</v>
      </c>
    </row>
    <row r="4" spans="1:10" ht="38.25" x14ac:dyDescent="0.2">
      <c r="A4" s="6" t="s">
        <v>87</v>
      </c>
      <c r="B4" s="6" t="s">
        <v>219</v>
      </c>
      <c r="C4" s="6" t="s">
        <v>220</v>
      </c>
      <c r="D4" s="6" t="s">
        <v>221</v>
      </c>
      <c r="E4" s="6" t="str">
        <f>"Haiku 4.5 · h = "&amp;TEXT(Predpoklady!$C$17,"0%")&amp;" ($)"</f>
        <v>Haiku 4.5 · h = 60% ($)</v>
      </c>
      <c r="F4" s="6" t="s">
        <v>221</v>
      </c>
      <c r="G4" s="6" t="s">
        <v>222</v>
      </c>
      <c r="H4" s="6" t="s">
        <v>221</v>
      </c>
      <c r="I4" s="6" t="str">
        <f>"Sonnet 5 std · h = "&amp;TEXT(Predpoklady!$C$17,"0%")&amp;" ($)"</f>
        <v>Sonnet 5 std · h = 60% ($)</v>
      </c>
      <c r="J4" s="6" t="s">
        <v>221</v>
      </c>
    </row>
    <row r="5" spans="1:10" x14ac:dyDescent="0.2">
      <c r="A5" s="1" t="s">
        <v>90</v>
      </c>
      <c r="B5" s="60">
        <f>Predpoklady!$B$36</f>
        <v>6</v>
      </c>
      <c r="C5" s="46">
        <f>$B5*Naklad_run!$B$10*Naklad_volani!$F$14</f>
        <v>0.11684872079999999</v>
      </c>
      <c r="D5" s="21">
        <f>C5/Predpoklady!$C$50</f>
        <v>1.8720698498498493E-2</v>
      </c>
      <c r="E5" s="46">
        <f>$B5*Naklad_run!$B$10*(1-Predpoklady!$C$17)*Naklad_volani!$F$14</f>
        <v>4.6739488319999994E-2</v>
      </c>
      <c r="F5" s="21">
        <f>E5/Predpoklady!$C$50</f>
        <v>7.4882793993993977E-3</v>
      </c>
      <c r="G5" s="46">
        <f>$B5*Naklad_run!$B$10*Naklad_volani!$F$15</f>
        <v>0.35054616239999992</v>
      </c>
      <c r="H5" s="21">
        <f>G5/Predpoklady!$C$50</f>
        <v>5.6162095495495473E-2</v>
      </c>
      <c r="I5" s="46">
        <f>$B5*Naklad_run!$B$10*(1-Predpoklady!$C$17)*Naklad_volani!$F$15</f>
        <v>0.14021846495999998</v>
      </c>
      <c r="J5" s="21">
        <f>I5/Predpoklady!$C$50</f>
        <v>2.2464838198198191E-2</v>
      </c>
    </row>
    <row r="6" spans="1:10" x14ac:dyDescent="0.2">
      <c r="A6" s="1" t="s">
        <v>92</v>
      </c>
      <c r="B6" s="60">
        <f>Predpoklady!$B$37</f>
        <v>100</v>
      </c>
      <c r="C6" s="46">
        <f>$B6*Naklad_run!$B$10*Naklad_volani!$F$14</f>
        <v>1.9474786799999997</v>
      </c>
      <c r="D6" s="21">
        <f>C6/Predpoklady!$C$50</f>
        <v>0.31201164164164152</v>
      </c>
      <c r="E6" s="46">
        <f>$B6*Naklad_run!$B$10*(1-Predpoklady!$C$17)*Naklad_volani!$F$14</f>
        <v>0.77899147199999985</v>
      </c>
      <c r="F6" s="21">
        <f>E6/Predpoklady!$C$50</f>
        <v>0.12480465665665662</v>
      </c>
      <c r="G6" s="46">
        <f>$B6*Naklad_run!$B$10*Naklad_volani!$F$15</f>
        <v>5.8424360399999991</v>
      </c>
      <c r="H6" s="21">
        <f>G6/Predpoklady!$C$50</f>
        <v>0.93603492492492468</v>
      </c>
      <c r="I6" s="46">
        <f>$B6*Naklad_run!$B$10*(1-Predpoklady!$C$17)*Naklad_volani!$F$15</f>
        <v>2.3369744159999994</v>
      </c>
      <c r="J6" s="21">
        <f>I6/Predpoklady!$C$50</f>
        <v>0.37441396996996984</v>
      </c>
    </row>
    <row r="7" spans="1:10" x14ac:dyDescent="0.2">
      <c r="A7" s="1" t="s">
        <v>94</v>
      </c>
      <c r="B7" s="60">
        <f>Predpoklady!$B$38</f>
        <v>500</v>
      </c>
      <c r="C7" s="46">
        <f>$B7*Naklad_run!$B$10*Naklad_volani!$F$14</f>
        <v>9.7373933999999984</v>
      </c>
      <c r="D7" s="21">
        <f>C7/Predpoklady!$C$50</f>
        <v>1.5600582082082077</v>
      </c>
      <c r="E7" s="46">
        <f>$B7*Naklad_run!$B$10*(1-Predpoklady!$C$17)*Naklad_volani!$F$14</f>
        <v>3.8949573599999994</v>
      </c>
      <c r="F7" s="21">
        <f>E7/Predpoklady!$C$50</f>
        <v>0.62402328328328305</v>
      </c>
      <c r="G7" s="46">
        <f>$B7*Naklad_run!$B$10*Naklad_volani!$F$15</f>
        <v>29.212180199999995</v>
      </c>
      <c r="H7" s="21">
        <f>G7/Predpoklady!$C$50</f>
        <v>4.6801746246246232</v>
      </c>
      <c r="I7" s="46">
        <f>$B7*Naklad_run!$B$10*(1-Predpoklady!$C$17)*Naklad_volani!$F$15</f>
        <v>11.684872079999998</v>
      </c>
      <c r="J7" s="21">
        <f>I7/Predpoklady!$C$50</f>
        <v>1.8720698498498494</v>
      </c>
    </row>
    <row r="8" spans="1:10" x14ac:dyDescent="0.2">
      <c r="A8" s="2" t="s">
        <v>96</v>
      </c>
      <c r="B8" s="61">
        <f>Predpoklady!$B$39</f>
        <v>19.8</v>
      </c>
      <c r="C8" s="58">
        <f>$B8*Naklad_run!$B$10*Naklad_volani!$F$14</f>
        <v>0.38560077863999997</v>
      </c>
      <c r="D8" s="42">
        <f>C8/Predpoklady!$C$50</f>
        <v>6.1778305045045029E-2</v>
      </c>
      <c r="E8" s="58">
        <f>$B8*Naklad_run!$B$10*(1-Predpoklady!$C$17)*Naklad_volani!$F$14</f>
        <v>0.15424031145600001</v>
      </c>
      <c r="F8" s="42">
        <f>E8/Predpoklady!$C$50</f>
        <v>2.4711322018018015E-2</v>
      </c>
      <c r="G8" s="58">
        <f>$B8*Naklad_run!$B$10*Naklad_volani!$F$15</f>
        <v>1.1568023359199999</v>
      </c>
      <c r="H8" s="42">
        <f>G8/Predpoklady!$C$50</f>
        <v>0.18533491513513509</v>
      </c>
      <c r="I8" s="58">
        <f>$B8*Naklad_run!$B$10*(1-Predpoklady!$C$17)*Naklad_volani!$F$15</f>
        <v>0.46272093436799999</v>
      </c>
      <c r="J8" s="42">
        <f>I8/Predpoklady!$C$50</f>
        <v>7.4133966054054048E-2</v>
      </c>
    </row>
    <row r="10" spans="1:10" x14ac:dyDescent="0.2">
      <c r="A10" s="5" t="s">
        <v>223</v>
      </c>
    </row>
  </sheetData>
  <conditionalFormatting sqref="D5:D8">
    <cfRule type="cellIs" dxfId="3" priority="1" stopIfTrue="1" operator="greaterThan">
      <formula>1</formula>
    </cfRule>
  </conditionalFormatting>
  <conditionalFormatting sqref="F5:F8">
    <cfRule type="cellIs" dxfId="2" priority="2" stopIfTrue="1" operator="greaterThan">
      <formula>1</formula>
    </cfRule>
  </conditionalFormatting>
  <conditionalFormatting sqref="H5:H8">
    <cfRule type="cellIs" dxfId="1" priority="3" stopIfTrue="1" operator="greaterThan">
      <formula>1</formula>
    </cfRule>
  </conditionalFormatting>
  <conditionalFormatting sqref="J5:J8">
    <cfRule type="cellIs" dxfId="0" priority="4" stopIfTrue="1" operator="greaterThan">
      <formula>1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E58F-DD30-4044-BEB2-5BE15B5E1A8A}">
  <dimension ref="A1:J10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44.7109375" style="1" customWidth="1"/>
    <col min="2" max="2" width="17.7109375" style="1" customWidth="1"/>
    <col min="3" max="3" width="15.7109375" style="1" customWidth="1"/>
    <col min="4" max="4" width="14.7109375" style="1" customWidth="1"/>
    <col min="5" max="5" width="16.7109375" style="1" customWidth="1"/>
    <col min="6" max="6" width="17.7109375" style="1" customWidth="1"/>
    <col min="7" max="7" width="15.7109375" style="1" customWidth="1"/>
    <col min="8" max="8" width="17.7109375" style="1" customWidth="1"/>
    <col min="9" max="9" width="21.7109375" style="1" customWidth="1"/>
    <col min="10" max="10" width="62.7109375" style="1" customWidth="1"/>
    <col min="11" max="16384" width="9.140625" style="1"/>
  </cols>
  <sheetData>
    <row r="1" spans="1:10" ht="16.5" x14ac:dyDescent="0.25">
      <c r="A1" s="3" t="s">
        <v>224</v>
      </c>
    </row>
    <row r="2" spans="1:10" x14ac:dyDescent="0.2">
      <c r="A2" s="5" t="s">
        <v>225</v>
      </c>
    </row>
    <row r="4" spans="1:10" ht="51" x14ac:dyDescent="0.2">
      <c r="A4" s="6" t="s">
        <v>226</v>
      </c>
      <c r="B4" s="6" t="s">
        <v>205</v>
      </c>
      <c r="C4" s="6" t="s">
        <v>121</v>
      </c>
      <c r="D4" s="6" t="s">
        <v>227</v>
      </c>
      <c r="E4" s="6" t="s">
        <v>228</v>
      </c>
      <c r="F4" s="6" t="str">
        <f>"$ / hráč (h = "&amp;TEXT(Predpoklady!$C$17,"0%")&amp;")"</f>
        <v>$ / hráč (h = 60%)</v>
      </c>
      <c r="G4" s="6" t="str">
        <f>"Marže (h = "&amp;TEXT(Predpoklady!$C$17,"0%")&amp;")"</f>
        <v>Marže (h = 60%)</v>
      </c>
      <c r="H4" s="6" t="s">
        <v>207</v>
      </c>
      <c r="I4" s="6" t="s">
        <v>229</v>
      </c>
      <c r="J4" s="6" t="s">
        <v>230</v>
      </c>
    </row>
    <row r="5" spans="1:10" ht="127.5" x14ac:dyDescent="0.2">
      <c r="A5" s="30" t="s">
        <v>231</v>
      </c>
      <c r="B5" s="62">
        <f>Naklad_run!$B$10</f>
        <v>7.7867999999999995</v>
      </c>
      <c r="C5" s="63">
        <f>Naklad_volani!$F$14</f>
        <v>2.5009999999999998E-3</v>
      </c>
      <c r="D5" s="64">
        <f>B5*C5</f>
        <v>1.9474786799999998E-2</v>
      </c>
      <c r="E5" s="65">
        <f>D5*Predpoklady!$B$39</f>
        <v>0.38560077863999997</v>
      </c>
      <c r="F5" s="65">
        <f>D5*(1-Predpoklady!$C$17)*Predpoklady!$B$39</f>
        <v>0.15424031145599998</v>
      </c>
      <c r="G5" s="66">
        <f>1-F5/Predpoklady!$C$50</f>
        <v>0.97528867798198204</v>
      </c>
      <c r="H5" s="67">
        <f>IFERROR(Predpoklady!$C$50/D5,"nekonečno")</f>
        <v>320.50086167891834</v>
      </c>
      <c r="I5" s="30" t="s">
        <v>232</v>
      </c>
      <c r="J5" s="30" t="s">
        <v>233</v>
      </c>
    </row>
    <row r="6" spans="1:10" ht="153" x14ac:dyDescent="0.2">
      <c r="A6" s="30" t="s">
        <v>234</v>
      </c>
      <c r="B6" s="62">
        <f>Naklad_run!$B$10</f>
        <v>7.7867999999999995</v>
      </c>
      <c r="C6" s="63">
        <f>Naklad_volani!$F$15</f>
        <v>7.5029999999999993E-3</v>
      </c>
      <c r="D6" s="64">
        <f>B6*C6</f>
        <v>5.8424360399999993E-2</v>
      </c>
      <c r="E6" s="65">
        <f>D6*Predpoklady!$B$39</f>
        <v>1.1568023359199999</v>
      </c>
      <c r="F6" s="65">
        <f>D6*(1-Predpoklady!$C$17)*Predpoklady!$B$39</f>
        <v>0.46272093436799994</v>
      </c>
      <c r="G6" s="66">
        <f>1-F6/Predpoklady!$C$50</f>
        <v>0.92586603394594591</v>
      </c>
      <c r="H6" s="67">
        <f>IFERROR(Predpoklady!$C$50/D6,"nekonečno")</f>
        <v>106.83362055963944</v>
      </c>
      <c r="I6" s="30" t="s">
        <v>235</v>
      </c>
      <c r="J6" s="30" t="s">
        <v>236</v>
      </c>
    </row>
    <row r="7" spans="1:10" ht="165.75" x14ac:dyDescent="0.2">
      <c r="A7" s="29" t="s">
        <v>237</v>
      </c>
      <c r="B7" s="68">
        <f>Naklad_run!$B$10</f>
        <v>7.7867999999999995</v>
      </c>
      <c r="C7" s="69">
        <f>Predpoklady!$C$54</f>
        <v>4.9500000000000004E-3</v>
      </c>
      <c r="D7" s="70">
        <f>B7*C7</f>
        <v>3.8544660000000001E-2</v>
      </c>
      <c r="E7" s="71">
        <f>D7*Predpoklady!$B$39</f>
        <v>0.76318426800000005</v>
      </c>
      <c r="F7" s="71">
        <f>D7*(1-Predpoklady!$C$17)*Predpoklady!$B$39</f>
        <v>0.30527370720000002</v>
      </c>
      <c r="G7" s="72">
        <f>1-F7/Predpoklady!$C$50</f>
        <v>0.9510911459459459</v>
      </c>
      <c r="H7" s="73">
        <f>IFERROR(Predpoklady!$C$50/D7,"nekonečno")</f>
        <v>161.93386970888378</v>
      </c>
      <c r="I7" s="29" t="s">
        <v>232</v>
      </c>
      <c r="J7" s="29" t="s">
        <v>238</v>
      </c>
    </row>
    <row r="8" spans="1:10" ht="89.25" x14ac:dyDescent="0.2">
      <c r="A8" s="29" t="s">
        <v>239</v>
      </c>
      <c r="B8" s="68">
        <f>Naklad_run!$B$11</f>
        <v>3.1517999999999997</v>
      </c>
      <c r="C8" s="69">
        <f>Naklad_volani!$F$14</f>
        <v>2.5009999999999998E-3</v>
      </c>
      <c r="D8" s="70">
        <f>B8*C8</f>
        <v>7.8826517999999977E-3</v>
      </c>
      <c r="E8" s="71">
        <f>D8*Predpoklady!$B$39</f>
        <v>0.15607650563999997</v>
      </c>
      <c r="F8" s="71">
        <f>D8*(1-Predpoklady!$C$17)*Predpoklady!$B$39</f>
        <v>6.2430602255999987E-2</v>
      </c>
      <c r="G8" s="72">
        <f>1-F8/Predpoklady!$C$50</f>
        <v>0.98999779823080225</v>
      </c>
      <c r="H8" s="73">
        <f>IFERROR(Predpoklady!$C$50/D8,"nekonečno")</f>
        <v>791.82565826556311</v>
      </c>
      <c r="I8" s="29" t="s">
        <v>232</v>
      </c>
      <c r="J8" s="29" t="s">
        <v>240</v>
      </c>
    </row>
    <row r="9" spans="1:10" ht="140.25" x14ac:dyDescent="0.2">
      <c r="A9" s="30" t="s">
        <v>241</v>
      </c>
      <c r="B9" s="62">
        <f>Naklad_run!$B$11</f>
        <v>3.1517999999999997</v>
      </c>
      <c r="C9" s="63">
        <f>Naklad_volani!$F$15</f>
        <v>7.5029999999999993E-3</v>
      </c>
      <c r="D9" s="64">
        <f>B9*C9</f>
        <v>2.3647955399999997E-2</v>
      </c>
      <c r="E9" s="65">
        <f>D9*Predpoklady!$B$39</f>
        <v>0.46822951691999998</v>
      </c>
      <c r="F9" s="65">
        <f>D9*(1-Predpoklady!$C$17)*Predpoklady!$B$39</f>
        <v>0.187291806768</v>
      </c>
      <c r="G9" s="66">
        <f>1-F9/Predpoklady!$C$50</f>
        <v>0.96999339469240664</v>
      </c>
      <c r="H9" s="67">
        <f>IFERROR(Predpoklady!$C$50/D9,"nekonečno")</f>
        <v>263.94188608852102</v>
      </c>
      <c r="I9" s="30" t="s">
        <v>242</v>
      </c>
      <c r="J9" s="30" t="s">
        <v>243</v>
      </c>
    </row>
    <row r="10" spans="1:10" ht="178.5" x14ac:dyDescent="0.2">
      <c r="A10" s="29" t="s">
        <v>244</v>
      </c>
      <c r="B10" s="74">
        <v>0</v>
      </c>
      <c r="C10" s="75">
        <v>0</v>
      </c>
      <c r="D10" s="70">
        <f>B10*C10</f>
        <v>0</v>
      </c>
      <c r="E10" s="71">
        <f>D10*Predpoklady!$B$39</f>
        <v>0</v>
      </c>
      <c r="F10" s="71">
        <f>D10*(1-Predpoklady!$C$17)*Predpoklady!$B$39</f>
        <v>0</v>
      </c>
      <c r="G10" s="72">
        <f>1-F10/Predpoklady!$C$50</f>
        <v>1</v>
      </c>
      <c r="H10" s="73" t="str">
        <f>IFERROR(Predpoklady!$C$50/D10,"nekonečno")</f>
        <v>nekonečno</v>
      </c>
      <c r="I10" s="29" t="s">
        <v>232</v>
      </c>
      <c r="J10" s="29" t="s">
        <v>245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3A6F-52BE-45A8-A070-20EAD33A5D5F}">
  <dimension ref="A1:D15"/>
  <sheetViews>
    <sheetView workbookViewId="0">
      <pane ySplit="8" topLeftCell="A9" activePane="bottomLeft" state="frozenSplit"/>
      <selection pane="bottomLeft"/>
    </sheetView>
  </sheetViews>
  <sheetFormatPr defaultRowHeight="12.75" x14ac:dyDescent="0.2"/>
  <cols>
    <col min="1" max="1" width="36.7109375" style="1" customWidth="1"/>
    <col min="2" max="3" width="22.7109375" style="1" customWidth="1"/>
    <col min="4" max="4" width="68.7109375" style="1" customWidth="1"/>
    <col min="5" max="16384" width="9.140625" style="1"/>
  </cols>
  <sheetData>
    <row r="1" spans="1:4" ht="16.5" x14ac:dyDescent="0.25">
      <c r="A1" s="3" t="s">
        <v>246</v>
      </c>
    </row>
    <row r="3" spans="1:4" x14ac:dyDescent="0.2">
      <c r="A3" s="2" t="s">
        <v>247</v>
      </c>
      <c r="B3" s="76">
        <f>Predpoklady!$C$57</f>
        <v>1.5</v>
      </c>
    </row>
    <row r="4" spans="1:4" x14ac:dyDescent="0.2">
      <c r="A4" s="1" t="s">
        <v>248</v>
      </c>
      <c r="B4" s="21">
        <f>B3/Predpoklady!$C$50</f>
        <v>0.24031968476412918</v>
      </c>
    </row>
    <row r="5" spans="1:4" x14ac:dyDescent="0.2">
      <c r="A5" s="5" t="s">
        <v>249</v>
      </c>
    </row>
    <row r="6" spans="1:4" x14ac:dyDescent="0.2">
      <c r="A6" s="5" t="s">
        <v>250</v>
      </c>
    </row>
    <row r="8" spans="1:4" ht="38.25" x14ac:dyDescent="0.2">
      <c r="A8" s="6" t="s">
        <v>251</v>
      </c>
      <c r="B8" s="6" t="s">
        <v>252</v>
      </c>
      <c r="C8" s="6" t="str">
        <f>"Runů do stropu · h = "&amp;TEXT(Predpoklady!$C$17,"0%")</f>
        <v>Runů do stropu · h = 60%</v>
      </c>
      <c r="D8" s="6" t="s">
        <v>253</v>
      </c>
    </row>
    <row r="9" spans="1:4" ht="127.5" x14ac:dyDescent="0.2">
      <c r="A9" s="29" t="s">
        <v>212</v>
      </c>
      <c r="B9" s="77">
        <f>IFERROR($B$3/Scenare!$D$5,"nekonečno")</f>
        <v>77.022666045309421</v>
      </c>
      <c r="C9" s="77">
        <f>IFERROR($B$3/(Scenare!$D$5*(1-Predpoklady!$C$17)),"nekonečno")</f>
        <v>192.55666511327357</v>
      </c>
      <c r="D9" s="29" t="s">
        <v>254</v>
      </c>
    </row>
    <row r="10" spans="1:4" ht="51" x14ac:dyDescent="0.2">
      <c r="A10" s="29" t="s">
        <v>255</v>
      </c>
      <c r="B10" s="77">
        <f>IFERROR($B$3/Scenare!$D$8,"nekonečno")</f>
        <v>190.29129258252919</v>
      </c>
      <c r="C10" s="77">
        <f>IFERROR($B$3/(Scenare!$D$8*(1-Predpoklady!$C$17)),"nekonečno")</f>
        <v>475.72823145632293</v>
      </c>
      <c r="D10" s="29" t="s">
        <v>256</v>
      </c>
    </row>
    <row r="11" spans="1:4" ht="153" x14ac:dyDescent="0.2">
      <c r="A11" s="30" t="s">
        <v>210</v>
      </c>
      <c r="B11" s="78">
        <f>IFERROR($B$3/Scenare!$D$6,"nekonečno")</f>
        <v>25.67422201510314</v>
      </c>
      <c r="C11" s="78">
        <f>IFERROR($B$3/(Scenare!$D$6*(1-Predpoklady!$C$17)),"nekonečno")</f>
        <v>64.185555037757851</v>
      </c>
      <c r="D11" s="30" t="s">
        <v>257</v>
      </c>
    </row>
    <row r="12" spans="1:4" ht="63.75" x14ac:dyDescent="0.2">
      <c r="A12" s="29" t="s">
        <v>211</v>
      </c>
      <c r="B12" s="77">
        <f>IFERROR($B$3/Scenare!$D$7,"nekonečno")</f>
        <v>38.915896521074515</v>
      </c>
      <c r="C12" s="77">
        <f>IFERROR($B$3/(Scenare!$D$7*(1-Predpoklady!$C$17)),"nekonečno")</f>
        <v>97.289741302686281</v>
      </c>
      <c r="D12" s="29" t="s">
        <v>258</v>
      </c>
    </row>
    <row r="13" spans="1:4" ht="63.75" x14ac:dyDescent="0.2">
      <c r="A13" s="29" t="s">
        <v>259</v>
      </c>
      <c r="B13" s="77">
        <f>IFERROR($B$3/Scenare!$D$9,"nekonečno")</f>
        <v>63.430430860843053</v>
      </c>
      <c r="C13" s="77">
        <f>IFERROR($B$3/(Scenare!$D$9*(1-Predpoklady!$C$17)),"nekonečno")</f>
        <v>158.57607715210764</v>
      </c>
      <c r="D13" s="29" t="s">
        <v>260</v>
      </c>
    </row>
    <row r="15" spans="1:4" x14ac:dyDescent="0.2">
      <c r="A15" s="5" t="s">
        <v>261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3039-51BE-4064-ABA2-68750BA77E4B}">
  <dimension ref="A1:C17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36.7109375" style="1" customWidth="1"/>
    <col min="2" max="2" width="22.7109375" style="1" customWidth="1"/>
    <col min="3" max="3" width="24.7109375" style="1" customWidth="1"/>
    <col min="4" max="16384" width="9.140625" style="1"/>
  </cols>
  <sheetData>
    <row r="1" spans="1:3" ht="16.5" x14ac:dyDescent="0.25">
      <c r="A1" s="3" t="s">
        <v>262</v>
      </c>
    </row>
    <row r="2" spans="1:3" x14ac:dyDescent="0.2">
      <c r="A2" s="5" t="s">
        <v>263</v>
      </c>
    </row>
    <row r="4" spans="1:3" ht="76.5" x14ac:dyDescent="0.2">
      <c r="A4" s="6" t="s">
        <v>264</v>
      </c>
      <c r="B4" s="6" t="s">
        <v>265</v>
      </c>
      <c r="C4" s="6" t="s">
        <v>266</v>
      </c>
    </row>
    <row r="5" spans="1:3" x14ac:dyDescent="0.2">
      <c r="A5" s="9">
        <v>50000</v>
      </c>
      <c r="B5" s="79">
        <f>$A5*Naklad_volani!$F$14*Predpoklady!$C$55</f>
        <v>62.524999999999991</v>
      </c>
      <c r="C5" s="79">
        <f>$A5*Naklad_volani!$F$15*Predpoklady!$C$55</f>
        <v>187.57499999999999</v>
      </c>
    </row>
    <row r="6" spans="1:3" x14ac:dyDescent="0.2">
      <c r="A6" s="80">
        <v>200000</v>
      </c>
      <c r="B6" s="81">
        <f>$A6*Naklad_volani!$F$14*Predpoklady!$C$55</f>
        <v>250.09999999999997</v>
      </c>
      <c r="C6" s="81">
        <f>$A6*Naklad_volani!$F$15*Predpoklady!$C$55</f>
        <v>750.3</v>
      </c>
    </row>
    <row r="7" spans="1:3" x14ac:dyDescent="0.2">
      <c r="A7" s="9">
        <v>1000000</v>
      </c>
      <c r="B7" s="79">
        <f>$A7*Naklad_volani!$F$14*Predpoklady!$C$55</f>
        <v>1250.4999999999998</v>
      </c>
      <c r="C7" s="79">
        <f>$A7*Naklad_volani!$F$15*Predpoklady!$C$55</f>
        <v>3751.4999999999995</v>
      </c>
    </row>
    <row r="9" spans="1:3" x14ac:dyDescent="0.2">
      <c r="A9" s="2" t="s">
        <v>267</v>
      </c>
    </row>
    <row r="10" spans="1:3" ht="38.25" x14ac:dyDescent="0.2">
      <c r="A10" s="6" t="s">
        <v>268</v>
      </c>
      <c r="B10" s="6" t="s">
        <v>269</v>
      </c>
      <c r="C10" s="6" t="s">
        <v>270</v>
      </c>
    </row>
    <row r="11" spans="1:3" x14ac:dyDescent="0.2">
      <c r="A11" s="34">
        <f>A5</f>
        <v>50000</v>
      </c>
      <c r="B11" s="56">
        <f>B5/Predpoklady!$C$50</f>
        <v>10.017325526584782</v>
      </c>
      <c r="C11" s="56">
        <f>C5/Predpoklady!$C$50</f>
        <v>30.051976579754353</v>
      </c>
    </row>
    <row r="12" spans="1:3" x14ac:dyDescent="0.2">
      <c r="A12" s="36">
        <f>A6</f>
        <v>200000</v>
      </c>
      <c r="B12" s="59">
        <f>B6/Predpoklady!$C$50</f>
        <v>40.06930210633913</v>
      </c>
      <c r="C12" s="59">
        <f>C6/Predpoklady!$C$50</f>
        <v>120.20790631901741</v>
      </c>
    </row>
    <row r="13" spans="1:3" x14ac:dyDescent="0.2">
      <c r="A13" s="34">
        <f>A7</f>
        <v>1000000</v>
      </c>
      <c r="B13" s="56">
        <f>B7/Predpoklady!$C$50</f>
        <v>200.34651053169566</v>
      </c>
      <c r="C13" s="56">
        <f>C7/Predpoklady!$C$50</f>
        <v>601.03953159508694</v>
      </c>
    </row>
    <row r="15" spans="1:3" x14ac:dyDescent="0.2">
      <c r="A15" s="5" t="s">
        <v>271</v>
      </c>
    </row>
    <row r="16" spans="1:3" x14ac:dyDescent="0.2">
      <c r="A16" s="5" t="s">
        <v>272</v>
      </c>
    </row>
    <row r="17" spans="1:1" x14ac:dyDescent="0.2">
      <c r="A17" s="5" t="s">
        <v>273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B02A-2FAC-4EC4-912F-A6DF67D0863D}">
  <dimension ref="A1:B60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24.7109375" style="1" customWidth="1"/>
    <col min="2" max="2" width="118.7109375" style="1" customWidth="1"/>
    <col min="3" max="16384" width="9.140625" style="1"/>
  </cols>
  <sheetData>
    <row r="1" spans="1:2" ht="16.5" x14ac:dyDescent="0.25">
      <c r="A1" s="3" t="s">
        <v>274</v>
      </c>
      <c r="B1" s="29"/>
    </row>
    <row r="2" spans="1:2" x14ac:dyDescent="0.2">
      <c r="B2" s="29"/>
    </row>
    <row r="3" spans="1:2" x14ac:dyDescent="0.2">
      <c r="A3" s="6" t="s">
        <v>99</v>
      </c>
      <c r="B3" s="6" t="s">
        <v>275</v>
      </c>
    </row>
    <row r="4" spans="1:2" x14ac:dyDescent="0.2">
      <c r="A4" s="2" t="s">
        <v>276</v>
      </c>
      <c r="B4" s="29"/>
    </row>
    <row r="5" spans="1:2" x14ac:dyDescent="0.2">
      <c r="A5" s="7" t="s">
        <v>277</v>
      </c>
      <c r="B5" s="29" t="s">
        <v>278</v>
      </c>
    </row>
    <row r="6" spans="1:2" x14ac:dyDescent="0.2">
      <c r="A6" s="1" t="s">
        <v>279</v>
      </c>
      <c r="B6" s="29" t="s">
        <v>280</v>
      </c>
    </row>
    <row r="7" spans="1:2" x14ac:dyDescent="0.2">
      <c r="A7" s="37" t="s">
        <v>281</v>
      </c>
      <c r="B7" s="29" t="s">
        <v>282</v>
      </c>
    </row>
    <row r="8" spans="1:2" x14ac:dyDescent="0.2">
      <c r="A8" s="82" t="s">
        <v>283</v>
      </c>
      <c r="B8" s="29" t="s">
        <v>284</v>
      </c>
    </row>
    <row r="9" spans="1:2" x14ac:dyDescent="0.2">
      <c r="A9" s="83" t="s">
        <v>285</v>
      </c>
      <c r="B9" s="29" t="s">
        <v>286</v>
      </c>
    </row>
    <row r="10" spans="1:2" x14ac:dyDescent="0.2">
      <c r="A10" s="2"/>
      <c r="B10" s="29"/>
    </row>
    <row r="11" spans="1:2" x14ac:dyDescent="0.2">
      <c r="A11" s="2" t="s">
        <v>287</v>
      </c>
      <c r="B11" s="29"/>
    </row>
    <row r="12" spans="1:2" x14ac:dyDescent="0.2">
      <c r="A12" s="1" t="s">
        <v>288</v>
      </c>
      <c r="B12" s="29" t="s">
        <v>289</v>
      </c>
    </row>
    <row r="13" spans="1:2" ht="25.5" x14ac:dyDescent="0.2">
      <c r="A13" s="1" t="s">
        <v>290</v>
      </c>
      <c r="B13" s="29" t="s">
        <v>291</v>
      </c>
    </row>
    <row r="14" spans="1:2" x14ac:dyDescent="0.2">
      <c r="A14" s="1" t="s">
        <v>292</v>
      </c>
      <c r="B14" s="29" t="s">
        <v>293</v>
      </c>
    </row>
    <row r="15" spans="1:2" x14ac:dyDescent="0.2">
      <c r="A15" s="2"/>
      <c r="B15" s="29"/>
    </row>
    <row r="16" spans="1:2" x14ac:dyDescent="0.2">
      <c r="A16" s="2" t="s">
        <v>294</v>
      </c>
      <c r="B16" s="29"/>
    </row>
    <row r="17" spans="1:2" x14ac:dyDescent="0.2">
      <c r="A17" s="1" t="s">
        <v>288</v>
      </c>
      <c r="B17" s="29" t="s">
        <v>295</v>
      </c>
    </row>
    <row r="18" spans="1:2" x14ac:dyDescent="0.2">
      <c r="A18" s="1" t="s">
        <v>290</v>
      </c>
      <c r="B18" s="29" t="s">
        <v>296</v>
      </c>
    </row>
    <row r="19" spans="1:2" x14ac:dyDescent="0.2">
      <c r="A19" s="1" t="s">
        <v>297</v>
      </c>
      <c r="B19" s="29" t="s">
        <v>298</v>
      </c>
    </row>
    <row r="20" spans="1:2" x14ac:dyDescent="0.2">
      <c r="A20" s="1" t="s">
        <v>299</v>
      </c>
      <c r="B20" s="29" t="s">
        <v>300</v>
      </c>
    </row>
    <row r="21" spans="1:2" x14ac:dyDescent="0.2">
      <c r="A21" s="1" t="s">
        <v>301</v>
      </c>
      <c r="B21" s="29" t="s">
        <v>302</v>
      </c>
    </row>
    <row r="22" spans="1:2" x14ac:dyDescent="0.2">
      <c r="A22" s="1" t="s">
        <v>303</v>
      </c>
      <c r="B22" s="29" t="s">
        <v>304</v>
      </c>
    </row>
    <row r="23" spans="1:2" x14ac:dyDescent="0.2">
      <c r="A23" s="1" t="s">
        <v>305</v>
      </c>
      <c r="B23" s="29" t="s">
        <v>306</v>
      </c>
    </row>
    <row r="24" spans="1:2" x14ac:dyDescent="0.2">
      <c r="A24" s="1" t="s">
        <v>307</v>
      </c>
      <c r="B24" s="29" t="s">
        <v>308</v>
      </c>
    </row>
    <row r="25" spans="1:2" x14ac:dyDescent="0.2">
      <c r="A25" s="1" t="s">
        <v>309</v>
      </c>
      <c r="B25" s="29" t="s">
        <v>310</v>
      </c>
    </row>
    <row r="26" spans="1:2" x14ac:dyDescent="0.2">
      <c r="A26" s="1" t="s">
        <v>311</v>
      </c>
      <c r="B26" s="29" t="s">
        <v>312</v>
      </c>
    </row>
    <row r="27" spans="1:2" x14ac:dyDescent="0.2">
      <c r="A27" s="1" t="s">
        <v>313</v>
      </c>
      <c r="B27" s="29" t="s">
        <v>314</v>
      </c>
    </row>
    <row r="28" spans="1:2" x14ac:dyDescent="0.2">
      <c r="A28" s="2"/>
      <c r="B28" s="29"/>
    </row>
    <row r="29" spans="1:2" x14ac:dyDescent="0.2">
      <c r="A29" s="2" t="s">
        <v>315</v>
      </c>
      <c r="B29" s="29"/>
    </row>
    <row r="30" spans="1:2" ht="25.5" x14ac:dyDescent="0.2">
      <c r="A30" s="1" t="s">
        <v>316</v>
      </c>
      <c r="B30" s="29" t="s">
        <v>317</v>
      </c>
    </row>
    <row r="31" spans="1:2" x14ac:dyDescent="0.2">
      <c r="A31" s="1" t="s">
        <v>318</v>
      </c>
      <c r="B31" s="29" t="s">
        <v>319</v>
      </c>
    </row>
    <row r="32" spans="1:2" ht="25.5" x14ac:dyDescent="0.2">
      <c r="A32" s="1" t="s">
        <v>320</v>
      </c>
      <c r="B32" s="29" t="s">
        <v>321</v>
      </c>
    </row>
    <row r="33" spans="1:2" x14ac:dyDescent="0.2">
      <c r="A33" s="1" t="s">
        <v>322</v>
      </c>
      <c r="B33" s="29" t="s">
        <v>323</v>
      </c>
    </row>
    <row r="34" spans="1:2" x14ac:dyDescent="0.2">
      <c r="A34" s="1" t="s">
        <v>324</v>
      </c>
      <c r="B34" s="29" t="s">
        <v>325</v>
      </c>
    </row>
    <row r="35" spans="1:2" x14ac:dyDescent="0.2">
      <c r="A35" s="2"/>
      <c r="B35" s="29"/>
    </row>
    <row r="36" spans="1:2" x14ac:dyDescent="0.2">
      <c r="A36" s="2" t="s">
        <v>326</v>
      </c>
      <c r="B36" s="29"/>
    </row>
    <row r="37" spans="1:2" x14ac:dyDescent="0.2">
      <c r="A37" s="1" t="s">
        <v>327</v>
      </c>
      <c r="B37" s="29" t="s">
        <v>328</v>
      </c>
    </row>
    <row r="38" spans="1:2" x14ac:dyDescent="0.2">
      <c r="A38" s="1" t="s">
        <v>329</v>
      </c>
      <c r="B38" s="29" t="s">
        <v>330</v>
      </c>
    </row>
    <row r="39" spans="1:2" x14ac:dyDescent="0.2">
      <c r="A39" s="1" t="s">
        <v>331</v>
      </c>
      <c r="B39" s="84">
        <v>46231</v>
      </c>
    </row>
    <row r="40" spans="1:2" ht="25.5" x14ac:dyDescent="0.2">
      <c r="A40" s="1" t="s">
        <v>332</v>
      </c>
      <c r="B40" s="29" t="s">
        <v>333</v>
      </c>
    </row>
    <row r="41" spans="1:2" x14ac:dyDescent="0.2">
      <c r="B41" s="29"/>
    </row>
    <row r="42" spans="1:2" x14ac:dyDescent="0.2">
      <c r="B42" s="29"/>
    </row>
    <row r="43" spans="1:2" x14ac:dyDescent="0.2">
      <c r="B43" s="29"/>
    </row>
    <row r="44" spans="1:2" x14ac:dyDescent="0.2">
      <c r="B44" s="29"/>
    </row>
    <row r="45" spans="1:2" x14ac:dyDescent="0.2">
      <c r="B45" s="29"/>
    </row>
    <row r="46" spans="1:2" x14ac:dyDescent="0.2">
      <c r="B46" s="29"/>
    </row>
    <row r="47" spans="1:2" x14ac:dyDescent="0.2">
      <c r="B47" s="29"/>
    </row>
    <row r="48" spans="1:2" x14ac:dyDescent="0.2">
      <c r="B48" s="29"/>
    </row>
    <row r="49" spans="2:2" x14ac:dyDescent="0.2">
      <c r="B49" s="29"/>
    </row>
    <row r="50" spans="2:2" x14ac:dyDescent="0.2">
      <c r="B50" s="29"/>
    </row>
    <row r="51" spans="2:2" x14ac:dyDescent="0.2">
      <c r="B51" s="29"/>
    </row>
    <row r="52" spans="2:2" x14ac:dyDescent="0.2">
      <c r="B52" s="29"/>
    </row>
    <row r="53" spans="2:2" x14ac:dyDescent="0.2">
      <c r="B53" s="29"/>
    </row>
    <row r="54" spans="2:2" x14ac:dyDescent="0.2">
      <c r="B54" s="29"/>
    </row>
    <row r="55" spans="2:2" x14ac:dyDescent="0.2">
      <c r="B55" s="29"/>
    </row>
    <row r="56" spans="2:2" x14ac:dyDescent="0.2">
      <c r="B56" s="29"/>
    </row>
    <row r="57" spans="2:2" x14ac:dyDescent="0.2">
      <c r="B57" s="29"/>
    </row>
    <row r="58" spans="2:2" x14ac:dyDescent="0.2">
      <c r="B58" s="29"/>
    </row>
    <row r="59" spans="2:2" x14ac:dyDescent="0.2">
      <c r="B59" s="29"/>
    </row>
    <row r="60" spans="2:2" x14ac:dyDescent="0.2">
      <c r="B60" s="2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Predpoklady</vt:lpstr>
      <vt:lpstr>Cenik</vt:lpstr>
      <vt:lpstr>Naklad_volani</vt:lpstr>
      <vt:lpstr>Citlivost_tokenizer</vt:lpstr>
      <vt:lpstr>Naklad_run</vt:lpstr>
      <vt:lpstr>Cache_krivka</vt:lpstr>
      <vt:lpstr>Break_even</vt:lpstr>
      <vt:lpstr>Naklad_hrace</vt:lpstr>
      <vt:lpstr>Scenare</vt:lpstr>
      <vt:lpstr>Fair_use</vt:lpstr>
      <vt:lpstr>Predgenerovani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Laub</dc:creator>
  <cp:lastModifiedBy>Jan Laub</cp:lastModifiedBy>
  <dcterms:created xsi:type="dcterms:W3CDTF">2026-07-28T17:38:59Z</dcterms:created>
  <dcterms:modified xsi:type="dcterms:W3CDTF">2026-07-28T17:39:05Z</dcterms:modified>
</cp:coreProperties>
</file>